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a/Documents/Scratch/TD_ASD_CrossSectional/Demographics_Analysis/"/>
    </mc:Choice>
  </mc:AlternateContent>
  <xr:revisionPtr revIDLastSave="0" documentId="13_ncr:1_{4564BFCC-492B-1740-8979-777673F3EAFA}" xr6:coauthVersionLast="47" xr6:coauthVersionMax="47" xr10:uidLastSave="{00000000-0000-0000-0000-000000000000}"/>
  <bookViews>
    <workbookView xWindow="860" yWindow="500" windowWidth="27940" windowHeight="17500" xr2:uid="{C9E23CB8-5F79-7D4E-8002-153D0A865F03}"/>
  </bookViews>
  <sheets>
    <sheet name="TD" sheetId="1" r:id="rId1"/>
    <sheet name="ASD" sheetId="2" r:id="rId2"/>
    <sheet name="Summary" sheetId="3" r:id="rId3"/>
  </sheets>
  <definedNames>
    <definedName name="_xlnm._FilterDatabase" localSheetId="1" hidden="1">ASD!$C$1:$P$40</definedName>
    <definedName name="_xlnm._FilterDatabase" localSheetId="0" hidden="1">TD!$D$1:$O$41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8" i="3"/>
  <c r="H9" i="3"/>
  <c r="L3" i="3"/>
  <c r="M3" i="3"/>
  <c r="M2" i="3"/>
  <c r="L2" i="3"/>
  <c r="J3" i="3"/>
  <c r="J2" i="3"/>
  <c r="W3" i="3"/>
  <c r="V3" i="3"/>
  <c r="V10" i="3"/>
  <c r="W10" i="3"/>
  <c r="W9" i="3"/>
  <c r="V9" i="3"/>
  <c r="C1" i="3" l="1"/>
  <c r="W2" i="3"/>
  <c r="V2" i="3"/>
  <c r="O5" i="3"/>
  <c r="P5" i="3"/>
  <c r="Q5" i="3"/>
  <c r="R5" i="3"/>
  <c r="C6" i="3" s="1"/>
  <c r="S5" i="3"/>
  <c r="C5" i="3" s="1"/>
  <c r="O6" i="3"/>
  <c r="P6" i="3"/>
  <c r="Q6" i="3"/>
  <c r="R6" i="3"/>
  <c r="S6" i="3"/>
  <c r="N6" i="3"/>
  <c r="N5" i="3"/>
  <c r="G6" i="3"/>
  <c r="H6" i="3"/>
  <c r="H5" i="3"/>
  <c r="G5" i="3"/>
  <c r="F6" i="3"/>
  <c r="F5" i="3"/>
  <c r="O9" i="3"/>
  <c r="P9" i="3"/>
  <c r="Q9" i="3"/>
  <c r="R9" i="3"/>
  <c r="S9" i="3"/>
  <c r="N9" i="3"/>
  <c r="G9" i="3"/>
  <c r="F9" i="3"/>
  <c r="S3" i="3"/>
  <c r="R3" i="3"/>
  <c r="Q3" i="3"/>
  <c r="P3" i="3"/>
  <c r="O3" i="3"/>
  <c r="N3" i="3"/>
  <c r="K3" i="3"/>
  <c r="I3" i="3"/>
  <c r="H3" i="3"/>
  <c r="G3" i="3"/>
  <c r="F3" i="3"/>
  <c r="C4" i="3" l="1"/>
  <c r="C3" i="3"/>
  <c r="V13" i="3"/>
  <c r="D2" i="3"/>
  <c r="C12" i="3"/>
  <c r="C13" i="3"/>
  <c r="C15" i="3"/>
  <c r="B1" i="3"/>
  <c r="S2" i="3"/>
  <c r="B5" i="3" s="1"/>
  <c r="R2" i="3"/>
  <c r="B6" i="3" s="1"/>
  <c r="Q2" i="3"/>
  <c r="B4" i="3" s="1"/>
  <c r="P2" i="3"/>
  <c r="B3" i="3" s="1"/>
  <c r="O2" i="3"/>
  <c r="N2" i="3"/>
  <c r="B12" i="3" s="1"/>
  <c r="P13" i="3" l="1"/>
  <c r="R13" i="3"/>
  <c r="Q13" i="3"/>
  <c r="N13" i="3"/>
  <c r="B13" i="3"/>
  <c r="O13" i="3"/>
  <c r="C4" i="1"/>
  <c r="S13" i="3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  <c r="H2" i="3"/>
  <c r="H13" i="3" s="1"/>
  <c r="G2" i="3"/>
  <c r="F2" i="3"/>
  <c r="F13" i="3" s="1"/>
  <c r="K2" i="3"/>
  <c r="B9" i="3" s="1"/>
  <c r="I2" i="3"/>
  <c r="B7" i="3" s="1"/>
  <c r="B15" i="3" l="1"/>
  <c r="G13" i="3"/>
</calcChain>
</file>

<file path=xl/sharedStrings.xml><?xml version="1.0" encoding="utf-8"?>
<sst xmlns="http://schemas.openxmlformats.org/spreadsheetml/2006/main" count="679" uniqueCount="230">
  <si>
    <t>PID</t>
  </si>
  <si>
    <t>visit</t>
  </si>
  <si>
    <t>session</t>
  </si>
  <si>
    <t>order</t>
  </si>
  <si>
    <t>index</t>
  </si>
  <si>
    <t>subject</t>
  </si>
  <si>
    <t>MedianRT</t>
  </si>
  <si>
    <t>MeanACC</t>
  </si>
  <si>
    <t>ACC</t>
  </si>
  <si>
    <t>study</t>
  </si>
  <si>
    <t>group</t>
  </si>
  <si>
    <t>Gender</t>
  </si>
  <si>
    <t>New. Social Affect Total</t>
  </si>
  <si>
    <t>Current Total B - Verbal: Qualitative Abnormalities in Communication</t>
  </si>
  <si>
    <t>ASD</t>
  </si>
  <si>
    <t>4017_visit4</t>
  </si>
  <si>
    <t>31.1: Auditory Autism Voice Identification</t>
  </si>
  <si>
    <t>Male</t>
  </si>
  <si>
    <t>4023_visit3</t>
  </si>
  <si>
    <t>38: Cross-sect Auditory Autism Voice Identification</t>
  </si>
  <si>
    <t>4058_visit2</t>
  </si>
  <si>
    <t>4062_visit3</t>
  </si>
  <si>
    <t>4074_visit2</t>
  </si>
  <si>
    <t>4076_visit2</t>
  </si>
  <si>
    <t>4079_visit3</t>
  </si>
  <si>
    <t>7176_visit2</t>
  </si>
  <si>
    <t>7253_visit2</t>
  </si>
  <si>
    <t>7266_visit2</t>
  </si>
  <si>
    <t>7307_visit3</t>
  </si>
  <si>
    <t>7309_visit2</t>
  </si>
  <si>
    <t>7341_visit1</t>
  </si>
  <si>
    <t>7357_visit1</t>
  </si>
  <si>
    <t>7429_visit1</t>
  </si>
  <si>
    <t>7442_visit1</t>
  </si>
  <si>
    <t>7464_visit1</t>
  </si>
  <si>
    <t>7466_visit1</t>
  </si>
  <si>
    <t>7477_visit1</t>
  </si>
  <si>
    <t>7491_visit1</t>
  </si>
  <si>
    <t>262: Math Whiz ASD/1-week Retrieval Intervention</t>
  </si>
  <si>
    <t>Female</t>
  </si>
  <si>
    <t>7507_visit1</t>
  </si>
  <si>
    <t>7521_visit1</t>
  </si>
  <si>
    <t>7526_visit1</t>
  </si>
  <si>
    <t>7527_visit1</t>
  </si>
  <si>
    <t>7582_visit1</t>
  </si>
  <si>
    <t>7598_visit1</t>
  </si>
  <si>
    <t>7620_visit1</t>
  </si>
  <si>
    <t>7621_visit1</t>
  </si>
  <si>
    <t>7634_visit1</t>
  </si>
  <si>
    <t>7654_visit1</t>
  </si>
  <si>
    <t>7657_visit1</t>
  </si>
  <si>
    <t>7685_visit1</t>
  </si>
  <si>
    <t>7686_visit1</t>
  </si>
  <si>
    <t>7693_visit1</t>
  </si>
  <si>
    <t>7695_visit1</t>
  </si>
  <si>
    <t>7730_visit1</t>
  </si>
  <si>
    <t>7758_visit1</t>
  </si>
  <si>
    <t>7759_visit1</t>
  </si>
  <si>
    <t>7761_visit1</t>
  </si>
  <si>
    <t>TD</t>
  </si>
  <si>
    <t>336_visit5</t>
  </si>
  <si>
    <t>457_visit4</t>
  </si>
  <si>
    <t>7014_visit4</t>
  </si>
  <si>
    <t>7081_visit4</t>
  </si>
  <si>
    <t>7112_visit2</t>
  </si>
  <si>
    <t>7178_visit3</t>
  </si>
  <si>
    <t>7185_visit5</t>
  </si>
  <si>
    <t>7211_visit4</t>
  </si>
  <si>
    <t>7281_visit4</t>
  </si>
  <si>
    <t>7330_visit1</t>
  </si>
  <si>
    <t>7331_visit2</t>
  </si>
  <si>
    <t>7371_visit2</t>
  </si>
  <si>
    <t>7372_visit3</t>
  </si>
  <si>
    <t>7384_visit1</t>
  </si>
  <si>
    <t>7395_visit1</t>
  </si>
  <si>
    <t>7413_visit1</t>
  </si>
  <si>
    <t>7437_visit2</t>
  </si>
  <si>
    <t>7438_visit2</t>
  </si>
  <si>
    <t>7446_visit1</t>
  </si>
  <si>
    <t>7489_visit3</t>
  </si>
  <si>
    <t>7498_visit2</t>
  </si>
  <si>
    <t>7540_visit1</t>
  </si>
  <si>
    <t>7543_visit1</t>
  </si>
  <si>
    <t>7544_visit1</t>
  </si>
  <si>
    <t>7552_visit1</t>
  </si>
  <si>
    <t>7571_visit1</t>
  </si>
  <si>
    <t>7589_visit1</t>
  </si>
  <si>
    <t>7623_visit1</t>
  </si>
  <si>
    <t>7652_visit1</t>
  </si>
  <si>
    <t>7666_visit1</t>
  </si>
  <si>
    <t>7669_visit1</t>
  </si>
  <si>
    <t>7676_visit1</t>
  </si>
  <si>
    <t>7679_visit1</t>
  </si>
  <si>
    <t>7680_visit1</t>
  </si>
  <si>
    <t>7689_visit1</t>
  </si>
  <si>
    <t>7691_visit1</t>
  </si>
  <si>
    <t>7696_visit1</t>
  </si>
  <si>
    <t>7702_visit1</t>
  </si>
  <si>
    <t>7707_visit1</t>
  </si>
  <si>
    <t>7710_visit1</t>
  </si>
  <si>
    <t>NA</t>
  </si>
  <si>
    <t>Gender ratio</t>
  </si>
  <si>
    <t>Age (years)</t>
  </si>
  <si>
    <t>Full-scale IQ*</t>
  </si>
  <si>
    <t>VIQ*</t>
  </si>
  <si>
    <t>PIQ</t>
  </si>
  <si>
    <t>Word reading</t>
  </si>
  <si>
    <t>Reading comprehension</t>
  </si>
  <si>
    <t>-</t>
  </si>
  <si>
    <t>Max. Motion (mm)</t>
  </si>
  <si>
    <t>Mother's voice ID accuracy</t>
  </si>
  <si>
    <t>29 M: 11 F</t>
  </si>
  <si>
    <t>34 M: 6 F</t>
  </si>
  <si>
    <t>336_5</t>
  </si>
  <si>
    <t>457_4</t>
  </si>
  <si>
    <t>7014_4</t>
  </si>
  <si>
    <t>7081_4</t>
  </si>
  <si>
    <t>7112_2</t>
  </si>
  <si>
    <t>7178_3</t>
  </si>
  <si>
    <t>7185_5</t>
  </si>
  <si>
    <t>7211_4</t>
  </si>
  <si>
    <t>7281_4</t>
  </si>
  <si>
    <t>7330_1</t>
  </si>
  <si>
    <t>7331_2</t>
  </si>
  <si>
    <t>7371_2</t>
  </si>
  <si>
    <t>7372_3</t>
  </si>
  <si>
    <t>7384_1</t>
  </si>
  <si>
    <t>7395_1</t>
  </si>
  <si>
    <t>7413_1</t>
  </si>
  <si>
    <t>7437_2</t>
  </si>
  <si>
    <t>7438_2</t>
  </si>
  <si>
    <t>7446_1</t>
  </si>
  <si>
    <t>7489_3</t>
  </si>
  <si>
    <t>7498_2</t>
  </si>
  <si>
    <t>7540_1</t>
  </si>
  <si>
    <t>7543_1</t>
  </si>
  <si>
    <t>7544_1</t>
  </si>
  <si>
    <t>7552_1</t>
  </si>
  <si>
    <t>7571_1</t>
  </si>
  <si>
    <t>7589_1</t>
  </si>
  <si>
    <t>7623_1</t>
  </si>
  <si>
    <t>7652_1</t>
  </si>
  <si>
    <t>7666_1</t>
  </si>
  <si>
    <t>7669_1</t>
  </si>
  <si>
    <t>7676_1</t>
  </si>
  <si>
    <t>7679_1</t>
  </si>
  <si>
    <t>7680_1</t>
  </si>
  <si>
    <t>7689_1</t>
  </si>
  <si>
    <t>7691_1</t>
  </si>
  <si>
    <t>7696_1</t>
  </si>
  <si>
    <t>7702_1</t>
  </si>
  <si>
    <t>7707_1</t>
  </si>
  <si>
    <t>7710_1</t>
  </si>
  <si>
    <t>4017_4</t>
  </si>
  <si>
    <t>4023_3</t>
  </si>
  <si>
    <t>4058_2</t>
  </si>
  <si>
    <t>4062_3</t>
  </si>
  <si>
    <t>4074_2</t>
  </si>
  <si>
    <t>4076_2</t>
  </si>
  <si>
    <t>4079_3</t>
  </si>
  <si>
    <t>7176_2</t>
  </si>
  <si>
    <t>7253_2</t>
  </si>
  <si>
    <t>7266_2</t>
  </si>
  <si>
    <t>7307_3</t>
  </si>
  <si>
    <t>7309_2</t>
  </si>
  <si>
    <t>7341_1</t>
  </si>
  <si>
    <t>7357_1</t>
  </si>
  <si>
    <t>7429_1</t>
  </si>
  <si>
    <t>7442_1</t>
  </si>
  <si>
    <t>7464_1</t>
  </si>
  <si>
    <t>7466_1</t>
  </si>
  <si>
    <t>7477_1</t>
  </si>
  <si>
    <t>7491_1</t>
  </si>
  <si>
    <t>7507_1</t>
  </si>
  <si>
    <t>7521_1</t>
  </si>
  <si>
    <t>7526_1</t>
  </si>
  <si>
    <t>7527_1</t>
  </si>
  <si>
    <t>7582_1</t>
  </si>
  <si>
    <t>7598_1</t>
  </si>
  <si>
    <t>7620_1</t>
  </si>
  <si>
    <t>7621_1</t>
  </si>
  <si>
    <t>7634_1</t>
  </si>
  <si>
    <t>7654_1</t>
  </si>
  <si>
    <t>7657_1</t>
  </si>
  <si>
    <t>7685_1</t>
  </si>
  <si>
    <t>7686_1</t>
  </si>
  <si>
    <t>7693_1</t>
  </si>
  <si>
    <t>7695_1</t>
  </si>
  <si>
    <t>7730_1</t>
  </si>
  <si>
    <t>7758_1</t>
  </si>
  <si>
    <t>7759_1</t>
  </si>
  <si>
    <t>7761_1</t>
  </si>
  <si>
    <t>spreadsheet scores: 117	118	112, scores from redcap are as listed…</t>
  </si>
  <si>
    <t>WASI FSIQ</t>
  </si>
  <si>
    <t>WASI PIQ</t>
  </si>
  <si>
    <t>WASI VIQ</t>
  </si>
  <si>
    <t>WIATII Word Reading  (stan.)</t>
  </si>
  <si>
    <t>WIATII Reading Comp  (stan.)</t>
  </si>
  <si>
    <t>Age scan</t>
  </si>
  <si>
    <t>this says not collected (wiatIII, but has wiat scores for this visit on box)</t>
  </si>
  <si>
    <t>notes</t>
  </si>
  <si>
    <t>WIATII Word Reading</t>
  </si>
  <si>
    <t>WIATII Reading Comp</t>
  </si>
  <si>
    <t>Missing</t>
  </si>
  <si>
    <t>ASD MEAN</t>
  </si>
  <si>
    <t>ASD SD</t>
  </si>
  <si>
    <t>TD MEAN</t>
  </si>
  <si>
    <t>TD SD</t>
  </si>
  <si>
    <t>TTEST</t>
  </si>
  <si>
    <t>Column1</t>
  </si>
  <si>
    <t>** ASD includes 2 subjects we plan to drop</t>
  </si>
  <si>
    <t>ADOS- New. Social Affect Total</t>
  </si>
  <si>
    <t>ADOS social affect</t>
  </si>
  <si>
    <t xml:space="preserve">*** values from above pulled form individual TD and ASD tabs </t>
  </si>
  <si>
    <t>** table created using the values to the right, updating the cell values in each tab (rows 42 and 43 will update everything accordingly)</t>
  </si>
  <si>
    <t>chi-squared_test</t>
  </si>
  <si>
    <t>Total</t>
  </si>
  <si>
    <t>Expected count - Male</t>
  </si>
  <si>
    <t>Expected count - Female</t>
  </si>
  <si>
    <t>df (rows-1)x(cols-1) = (2-1)*(2-1)</t>
  </si>
  <si>
    <t>chi_squared_pvalue</t>
  </si>
  <si>
    <t>** chi squared also pulls from TD and ASD tabs where totals complete by gender, so updating those will update the p value for the chi sq tst in column D row 2</t>
  </si>
  <si>
    <t>Diagnostic Total C: Restricted, Repetitive, and Stereotyped Patterns of Behavior</t>
  </si>
  <si>
    <t>ADI-- C: Restricted, Repetitive, and Stereotyped Patterns of Behavior</t>
  </si>
  <si>
    <t>Diagnostic Total D: Abnormality of Development Evident at or Before 36 Months</t>
  </si>
  <si>
    <t>ADI -- D: Abnormality of Development Evident at or Before 36 Months</t>
  </si>
  <si>
    <t>ADI-- B (Verbal): Qualitative Abnormalities in Communication</t>
  </si>
  <si>
    <t>Diagnostic Total B - Verbal: Qualitative Abnormalities in Communication</t>
  </si>
  <si>
    <t>Diagnostic Total A: Qualitative Abnormalities in Reciprocal Social Interaction</t>
  </si>
  <si>
    <t>ADI -- A: Qualitative Abnormalities in Reciprocal Social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</si>
</sst>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5"/>
      <color rgb="FF212121"/>
      <name val="Arial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2"/>
      <color rgb="FF212121"/>
      <name val="Arial"/>
      <family val="2"/>
    </font>
    <font>
      <b/>
      <sz val="12"/>
      <color rgb="FF212121"/>
      <name val="Arial"/>
      <family val="2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3" borderId="1" applyNumberFormat="0" applyAlignment="0" applyProtection="0"/>
    <xf numFmtId="0" fontId="5" fillId="0" borderId="0"/>
    <xf numFmtId="0" fontId="6" fillId="0" borderId="0"/>
  </cellStyleXfs>
  <cellXfs count="37">
    <xf numFmtId="0" fontId="0" fillId="0" borderId="0" xfId="0"/>
    <xf numFmtId="0" fontId="0" fillId="2" borderId="0" xfId="0" applyFill="1"/>
    <xf numFmtId="0" fontId="3" fillId="0" borderId="0" xfId="0" applyFont="1"/>
    <xf numFmtId="0" fontId="2" fillId="0" borderId="0" xfId="0" applyFont="1"/>
    <xf numFmtId="0" fontId="2" fillId="2" borderId="0" xfId="0" applyFont="1" applyFill="1"/>
    <xf numFmtId="2" fontId="4" fillId="0" borderId="0" xfId="0" applyNumberFormat="1" applyFont="1"/>
    <xf numFmtId="0" fontId="4" fillId="0" borderId="0" xfId="0" applyFont="1"/>
    <xf numFmtId="2" fontId="0" fillId="0" borderId="0" xfId="0" applyNumberFormat="1"/>
    <xf numFmtId="0" fontId="5" fillId="0" borderId="0" xfId="2"/>
    <xf numFmtId="0" fontId="0" fillId="0" borderId="2" xfId="0" applyBorder="1"/>
    <xf numFmtId="2" fontId="0" fillId="0" borderId="2" xfId="0" applyNumberFormat="1" applyBorder="1"/>
    <xf numFmtId="0" fontId="0" fillId="4" borderId="0" xfId="0" applyFill="1" applyAlignment="1">
      <alignment wrapText="1"/>
    </xf>
    <xf numFmtId="1" fontId="0" fillId="0" borderId="0" xfId="0" applyNumberFormat="1"/>
    <xf numFmtId="0" fontId="1" fillId="3" borderId="1" xfId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3" applyFill="1"/>
    <xf numFmtId="0" fontId="9" fillId="0" borderId="0" xfId="0" applyFont="1"/>
    <xf numFmtId="0" fontId="0" fillId="5" borderId="0" xfId="0" applyFill="1"/>
    <xf numFmtId="0" fontId="0" fillId="6" borderId="0" xfId="0" applyFill="1"/>
    <xf numFmtId="0" fontId="9" fillId="0" borderId="0" xfId="0" applyFont="1" applyAlignment="1">
      <alignment wrapText="1"/>
    </xf>
    <xf numFmtId="0" fontId="10" fillId="0" borderId="0" xfId="0" applyFont="1"/>
    <xf numFmtId="0" fontId="11" fillId="6" borderId="0" xfId="0" applyFont="1" applyFill="1"/>
    <xf numFmtId="0" fontId="12" fillId="6" borderId="0" xfId="0" applyFont="1" applyFill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</cellXfs>
  <cellStyles count="4">
    <cellStyle name="Calculation" xfId="1" builtinId="22"/>
    <cellStyle name="Normal" xfId="0" builtinId="0"/>
    <cellStyle name="Normal 10" xfId="2" xr:uid="{371C0714-104D-1142-A5A5-7F330BAD9B79}"/>
    <cellStyle name="Normal 15" xfId="3" xr:uid="{C291A605-A1C8-B04A-846E-DA6C7AA666D5}"/>
  </cellStyles>
  <dxfs count="36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2FB89-2C73-D148-90A3-646BCEADDFF2}" name="Table1" displayName="Table1" ref="E1:S13" totalsRowShown="0" headerRowDxfId="35" dataDxfId="34">
  <autoFilter ref="E1:S13" xr:uid="{1A22FB89-2C73-D148-90A3-646BCEADDFF2}"/>
  <tableColumns count="15">
    <tableColumn id="1" xr3:uid="{1DAC3841-45AF-594D-A72D-00B264B684AF}" name="Column1" dataDxfId="33"/>
    <tableColumn id="2" xr3:uid="{16C3534E-81F2-214F-B5D1-8DD98C1D0B27}" name="MedianRT" dataDxfId="32"/>
    <tableColumn id="3" xr3:uid="{F8E9F1B8-36DA-AD48-8B1F-5C042E56F84C}" name="MeanACC" dataDxfId="31"/>
    <tableColumn id="4" xr3:uid="{4F107EEB-7F63-C74D-82F9-F8B184373CFE}" name="ACC" dataDxfId="30"/>
    <tableColumn id="5" xr3:uid="{AC30C35E-06CA-6045-A0E3-BB0993118278}" name="ADOS- New. Social Affect Total" dataDxfId="29"/>
    <tableColumn id="13" xr3:uid="{38B1ECAC-9144-6741-A1FA-2556F9D1D298}" name="Diagnostic Total A: Qualitative Abnormalities in Reciprocal Social Interaction" dataDxfId="28">
      <calculatedColumnFormula>ROUND(ASD!#REF!,3)</calculatedColumnFormula>
    </tableColumn>
    <tableColumn id="6" xr3:uid="{176E45DC-D7C8-7A41-81CD-D7DDF1318D7D}" name="Diagnostic Total B - Verbal: Qualitative Abnormalities in Communication" dataDxfId="27"/>
    <tableColumn id="17" xr3:uid="{092203D9-71DE-214A-AF5B-904EED69BF5A}" name="Diagnostic Total C: Restricted, Repetitive, and Stereotyped Patterns of Behavior" dataDxfId="26">
      <calculatedColumnFormula>ROUND(ASD!#REF!,3)</calculatedColumnFormula>
    </tableColumn>
    <tableColumn id="16" xr3:uid="{89C11856-4C6E-914C-9AC9-5AAD7C95B44A}" name="Diagnostic Total D: Abnormality of Development Evident at or Before 36 Months" dataDxfId="25">
      <calculatedColumnFormula>ROUND(ASD!#REF!,3)</calculatedColumnFormula>
    </tableColumn>
    <tableColumn id="7" xr3:uid="{843A7603-71BD-2740-B325-41742DD77AC7}" name="WIATII Word Reading" dataDxfId="24"/>
    <tableColumn id="8" xr3:uid="{8B3228E2-2023-CE4F-97CC-73C38CCA1CAB}" name="WIATII Reading Comp" dataDxfId="23"/>
    <tableColumn id="9" xr3:uid="{A1D14622-F14E-8D49-92EF-980DE344E18B}" name="Age scan" dataDxfId="22"/>
    <tableColumn id="10" xr3:uid="{6C261622-9514-0A45-BEFD-342A421605F2}" name="WASI FSIQ" dataDxfId="21"/>
    <tableColumn id="11" xr3:uid="{C769A2FC-0CF3-C84E-8669-E578F050C7F0}" name="WASI PIQ" dataDxfId="20"/>
    <tableColumn id="12" xr3:uid="{39268489-1717-F842-A9D3-F250BF20236F}" name="WASI VIQ" dataDxfId="1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AEE6-7307-EA46-ACA8-494C39FF3740}">
  <dimension ref="A1:Y41"/>
  <sheetViews>
    <sheetView tabSelected="1" workbookViewId="0">
      <selection activeCell="A42" sqref="A42:XFD68"/>
    </sheetView>
  </sheetViews>
  <sheetFormatPr baseColWidth="10" defaultRowHeight="16" x14ac:dyDescent="0.2"/>
  <cols>
    <col min="2" max="2" width="0" hidden="1" customWidth="1"/>
    <col min="3" max="3" width="10.83203125" customWidth="1"/>
    <col min="17" max="17" width="13.83203125" customWidth="1"/>
    <col min="18" max="18" width="22.6640625" bestFit="1" customWidth="1"/>
    <col min="19" max="19" width="11.83203125" customWidth="1"/>
    <col min="20" max="20" width="19.83203125" bestFit="1" customWidth="1"/>
    <col min="21" max="21" width="19.33203125" bestFit="1" customWidth="1"/>
  </cols>
  <sheetData>
    <row r="1" spans="1:25" ht="51" x14ac:dyDescent="0.2">
      <c r="A1" t="s">
        <v>200</v>
      </c>
      <c r="D1" t="s">
        <v>0</v>
      </c>
      <c r="E1" t="s">
        <v>1</v>
      </c>
      <c r="F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12</v>
      </c>
      <c r="O1" t="s">
        <v>13</v>
      </c>
      <c r="P1" s="11" t="s">
        <v>196</v>
      </c>
      <c r="Q1" s="11" t="s">
        <v>197</v>
      </c>
      <c r="R1" s="11" t="s">
        <v>198</v>
      </c>
      <c r="S1" s="11" t="s">
        <v>193</v>
      </c>
      <c r="T1" s="11" t="s">
        <v>194</v>
      </c>
      <c r="U1" s="11" t="s">
        <v>195</v>
      </c>
      <c r="W1" t="s">
        <v>9</v>
      </c>
      <c r="X1" t="s">
        <v>10</v>
      </c>
      <c r="Y1" t="s">
        <v>11</v>
      </c>
    </row>
    <row r="2" spans="1:25" x14ac:dyDescent="0.2">
      <c r="B2" t="s">
        <v>113</v>
      </c>
      <c r="C2" t="str">
        <f>CONCATENATE(D2,"_",E2)</f>
        <v>336_5</v>
      </c>
      <c r="D2">
        <v>336</v>
      </c>
      <c r="E2">
        <v>5</v>
      </c>
      <c r="F2">
        <v>1</v>
      </c>
      <c r="G2" t="s">
        <v>59</v>
      </c>
      <c r="H2">
        <v>1</v>
      </c>
      <c r="I2">
        <v>41</v>
      </c>
      <c r="J2">
        <v>336</v>
      </c>
      <c r="K2">
        <v>875</v>
      </c>
      <c r="L2">
        <v>0.94444444000000005</v>
      </c>
      <c r="M2">
        <v>51</v>
      </c>
      <c r="N2" t="s">
        <v>100</v>
      </c>
      <c r="O2" t="s">
        <v>100</v>
      </c>
      <c r="P2">
        <v>99</v>
      </c>
      <c r="Q2">
        <v>106</v>
      </c>
      <c r="R2">
        <v>15</v>
      </c>
      <c r="S2">
        <v>114</v>
      </c>
      <c r="T2">
        <v>116</v>
      </c>
      <c r="U2">
        <v>109</v>
      </c>
      <c r="V2" t="s">
        <v>60</v>
      </c>
      <c r="W2" t="s">
        <v>19</v>
      </c>
      <c r="X2" t="s">
        <v>59</v>
      </c>
      <c r="Y2" t="s">
        <v>17</v>
      </c>
    </row>
    <row r="3" spans="1:25" x14ac:dyDescent="0.2">
      <c r="B3" t="s">
        <v>114</v>
      </c>
      <c r="C3" t="str">
        <f t="shared" ref="C3:C41" si="0">CONCATENATE(D3,"_",E3)</f>
        <v>457_4</v>
      </c>
      <c r="D3">
        <v>457</v>
      </c>
      <c r="E3">
        <v>4</v>
      </c>
      <c r="F3">
        <v>1</v>
      </c>
      <c r="G3" t="s">
        <v>59</v>
      </c>
      <c r="H3">
        <v>2</v>
      </c>
      <c r="I3">
        <v>42</v>
      </c>
      <c r="J3">
        <v>457</v>
      </c>
      <c r="K3">
        <v>532</v>
      </c>
      <c r="L3">
        <v>1</v>
      </c>
      <c r="M3">
        <v>54</v>
      </c>
      <c r="N3" t="s">
        <v>100</v>
      </c>
      <c r="O3" t="s">
        <v>100</v>
      </c>
      <c r="P3">
        <v>117</v>
      </c>
      <c r="Q3">
        <v>125</v>
      </c>
      <c r="R3">
        <v>14</v>
      </c>
      <c r="S3">
        <v>128</v>
      </c>
      <c r="T3">
        <v>121</v>
      </c>
      <c r="U3">
        <v>128</v>
      </c>
      <c r="V3" t="s">
        <v>61</v>
      </c>
      <c r="W3" t="s">
        <v>19</v>
      </c>
      <c r="X3" t="s">
        <v>59</v>
      </c>
      <c r="Y3" t="s">
        <v>17</v>
      </c>
    </row>
    <row r="4" spans="1:25" x14ac:dyDescent="0.2">
      <c r="A4" t="s">
        <v>199</v>
      </c>
      <c r="B4" s="1" t="s">
        <v>115</v>
      </c>
      <c r="C4" t="str">
        <f t="shared" si="0"/>
        <v>7014_4</v>
      </c>
      <c r="D4">
        <v>7014</v>
      </c>
      <c r="E4">
        <v>4</v>
      </c>
      <c r="F4">
        <v>1</v>
      </c>
      <c r="G4" t="s">
        <v>59</v>
      </c>
      <c r="H4">
        <v>3</v>
      </c>
      <c r="I4">
        <v>43</v>
      </c>
      <c r="J4">
        <v>7014</v>
      </c>
      <c r="K4">
        <v>281.5</v>
      </c>
      <c r="L4">
        <v>1</v>
      </c>
      <c r="M4">
        <v>54</v>
      </c>
      <c r="N4" t="s">
        <v>100</v>
      </c>
      <c r="O4" t="s">
        <v>100</v>
      </c>
      <c r="P4">
        <v>123</v>
      </c>
      <c r="Q4">
        <v>126</v>
      </c>
      <c r="R4" s="5">
        <v>9.7146000000000008</v>
      </c>
      <c r="S4" s="6">
        <v>119</v>
      </c>
      <c r="T4" s="6">
        <v>108</v>
      </c>
      <c r="U4" s="6">
        <v>126</v>
      </c>
      <c r="V4" t="s">
        <v>62</v>
      </c>
      <c r="W4" t="s">
        <v>16</v>
      </c>
      <c r="X4" t="s">
        <v>59</v>
      </c>
      <c r="Y4" t="s">
        <v>17</v>
      </c>
    </row>
    <row r="5" spans="1:25" x14ac:dyDescent="0.2">
      <c r="A5" t="s">
        <v>192</v>
      </c>
      <c r="B5" t="s">
        <v>116</v>
      </c>
      <c r="C5" t="str">
        <f t="shared" si="0"/>
        <v>7081_4</v>
      </c>
      <c r="D5">
        <v>7081</v>
      </c>
      <c r="E5">
        <v>4</v>
      </c>
      <c r="F5">
        <v>1</v>
      </c>
      <c r="G5" t="s">
        <v>59</v>
      </c>
      <c r="H5">
        <v>4</v>
      </c>
      <c r="I5">
        <v>44</v>
      </c>
      <c r="J5">
        <v>7081</v>
      </c>
      <c r="K5">
        <v>819.5</v>
      </c>
      <c r="L5">
        <v>0.90740740740740744</v>
      </c>
      <c r="M5">
        <v>49</v>
      </c>
      <c r="N5" t="s">
        <v>100</v>
      </c>
      <c r="O5" t="s">
        <v>100</v>
      </c>
      <c r="P5">
        <v>114</v>
      </c>
      <c r="Q5">
        <v>109</v>
      </c>
      <c r="R5" s="7">
        <v>9.6953999999999994</v>
      </c>
      <c r="S5">
        <v>107</v>
      </c>
      <c r="T5">
        <v>120</v>
      </c>
      <c r="U5">
        <v>93</v>
      </c>
      <c r="V5" t="s">
        <v>63</v>
      </c>
      <c r="W5" t="s">
        <v>16</v>
      </c>
      <c r="X5" t="s">
        <v>59</v>
      </c>
      <c r="Y5" t="s">
        <v>17</v>
      </c>
    </row>
    <row r="6" spans="1:25" x14ac:dyDescent="0.2">
      <c r="B6" t="s">
        <v>117</v>
      </c>
      <c r="C6" t="str">
        <f t="shared" si="0"/>
        <v>7112_2</v>
      </c>
      <c r="D6">
        <v>7112</v>
      </c>
      <c r="E6">
        <v>2</v>
      </c>
      <c r="F6">
        <v>1</v>
      </c>
      <c r="G6" t="s">
        <v>59</v>
      </c>
      <c r="H6">
        <v>5</v>
      </c>
      <c r="I6">
        <v>45</v>
      </c>
      <c r="J6">
        <v>7112</v>
      </c>
      <c r="K6">
        <v>541</v>
      </c>
      <c r="L6">
        <v>0.83333333333333337</v>
      </c>
      <c r="M6">
        <v>45</v>
      </c>
      <c r="N6" t="s">
        <v>100</v>
      </c>
      <c r="O6" t="s">
        <v>100</v>
      </c>
      <c r="P6" s="6">
        <v>114</v>
      </c>
      <c r="Q6" s="6">
        <v>99</v>
      </c>
      <c r="R6">
        <v>9</v>
      </c>
      <c r="S6">
        <v>113</v>
      </c>
      <c r="T6">
        <v>105</v>
      </c>
      <c r="U6">
        <v>119</v>
      </c>
      <c r="V6" t="s">
        <v>64</v>
      </c>
      <c r="W6" t="s">
        <v>16</v>
      </c>
      <c r="X6" t="s">
        <v>59</v>
      </c>
      <c r="Y6" t="s">
        <v>39</v>
      </c>
    </row>
    <row r="7" spans="1:25" x14ac:dyDescent="0.2">
      <c r="B7" s="1" t="s">
        <v>118</v>
      </c>
      <c r="C7" t="str">
        <f t="shared" si="0"/>
        <v>7178_3</v>
      </c>
      <c r="D7">
        <v>7178</v>
      </c>
      <c r="E7">
        <v>3</v>
      </c>
      <c r="F7">
        <v>1</v>
      </c>
      <c r="G7" t="s">
        <v>59</v>
      </c>
      <c r="H7">
        <v>6</v>
      </c>
      <c r="I7">
        <v>46</v>
      </c>
      <c r="J7">
        <v>7178</v>
      </c>
      <c r="K7">
        <v>618.5</v>
      </c>
      <c r="L7">
        <v>1</v>
      </c>
      <c r="M7">
        <v>54</v>
      </c>
      <c r="N7" t="s">
        <v>100</v>
      </c>
      <c r="O7" t="s">
        <v>100</v>
      </c>
      <c r="P7">
        <v>120</v>
      </c>
      <c r="Q7">
        <v>108</v>
      </c>
      <c r="R7" s="7">
        <v>10.4079</v>
      </c>
      <c r="S7">
        <v>127</v>
      </c>
      <c r="T7">
        <v>115</v>
      </c>
      <c r="U7">
        <v>134</v>
      </c>
      <c r="V7" t="s">
        <v>65</v>
      </c>
      <c r="W7" t="s">
        <v>16</v>
      </c>
      <c r="X7" t="s">
        <v>59</v>
      </c>
      <c r="Y7" t="s">
        <v>17</v>
      </c>
    </row>
    <row r="8" spans="1:25" x14ac:dyDescent="0.2">
      <c r="B8" s="1" t="s">
        <v>119</v>
      </c>
      <c r="C8" t="str">
        <f t="shared" si="0"/>
        <v>7185_5</v>
      </c>
      <c r="D8">
        <v>7185</v>
      </c>
      <c r="E8">
        <v>5</v>
      </c>
      <c r="F8">
        <v>1</v>
      </c>
      <c r="G8" t="s">
        <v>59</v>
      </c>
      <c r="H8">
        <v>7</v>
      </c>
      <c r="I8">
        <v>47</v>
      </c>
      <c r="J8">
        <v>7185</v>
      </c>
      <c r="K8">
        <v>303.5</v>
      </c>
      <c r="L8">
        <v>0.98148148148148151</v>
      </c>
      <c r="M8">
        <v>53</v>
      </c>
      <c r="N8" t="s">
        <v>100</v>
      </c>
      <c r="O8" t="s">
        <v>100</v>
      </c>
      <c r="P8">
        <v>114</v>
      </c>
      <c r="Q8">
        <v>106</v>
      </c>
      <c r="R8" s="7">
        <v>11.399699999999999</v>
      </c>
      <c r="S8">
        <v>116</v>
      </c>
      <c r="T8">
        <v>106</v>
      </c>
      <c r="U8">
        <v>122</v>
      </c>
      <c r="V8" t="s">
        <v>66</v>
      </c>
      <c r="W8" t="s">
        <v>16</v>
      </c>
      <c r="X8" t="s">
        <v>59</v>
      </c>
      <c r="Y8" t="s">
        <v>17</v>
      </c>
    </row>
    <row r="9" spans="1:25" x14ac:dyDescent="0.2">
      <c r="B9" s="1" t="s">
        <v>120</v>
      </c>
      <c r="C9" t="str">
        <f t="shared" si="0"/>
        <v>7211_4</v>
      </c>
      <c r="D9">
        <v>7211</v>
      </c>
      <c r="E9">
        <v>4</v>
      </c>
      <c r="F9">
        <v>1</v>
      </c>
      <c r="G9" t="s">
        <v>59</v>
      </c>
      <c r="H9">
        <v>8</v>
      </c>
      <c r="I9">
        <v>48</v>
      </c>
      <c r="J9">
        <v>7211</v>
      </c>
      <c r="K9">
        <v>308</v>
      </c>
      <c r="L9">
        <v>0.98148148148148151</v>
      </c>
      <c r="M9">
        <v>53</v>
      </c>
      <c r="N9" t="s">
        <v>100</v>
      </c>
      <c r="O9" t="s">
        <v>100</v>
      </c>
      <c r="P9">
        <v>119</v>
      </c>
      <c r="Q9">
        <v>116</v>
      </c>
      <c r="R9" s="7">
        <v>9.4435000000000002</v>
      </c>
      <c r="S9">
        <v>109</v>
      </c>
      <c r="T9">
        <v>94</v>
      </c>
      <c r="U9">
        <v>125</v>
      </c>
      <c r="V9" t="s">
        <v>67</v>
      </c>
      <c r="W9" t="s">
        <v>16</v>
      </c>
      <c r="X9" t="s">
        <v>59</v>
      </c>
      <c r="Y9" t="s">
        <v>17</v>
      </c>
    </row>
    <row r="10" spans="1:25" x14ac:dyDescent="0.2">
      <c r="B10" s="1" t="s">
        <v>121</v>
      </c>
      <c r="C10" t="str">
        <f t="shared" si="0"/>
        <v>7281_4</v>
      </c>
      <c r="D10">
        <v>7281</v>
      </c>
      <c r="E10">
        <v>4</v>
      </c>
      <c r="F10">
        <v>1</v>
      </c>
      <c r="G10" t="s">
        <v>59</v>
      </c>
      <c r="H10">
        <v>9</v>
      </c>
      <c r="I10">
        <v>49</v>
      </c>
      <c r="J10">
        <v>7281</v>
      </c>
      <c r="K10">
        <v>509</v>
      </c>
      <c r="L10">
        <v>0.98148148148148151</v>
      </c>
      <c r="M10">
        <v>53</v>
      </c>
      <c r="N10" t="s">
        <v>100</v>
      </c>
      <c r="O10" t="s">
        <v>100</v>
      </c>
      <c r="P10">
        <v>115</v>
      </c>
      <c r="Q10">
        <v>123</v>
      </c>
      <c r="R10" s="7">
        <v>9.3668999999999993</v>
      </c>
      <c r="S10" s="8">
        <v>109</v>
      </c>
      <c r="T10" s="8">
        <v>104</v>
      </c>
      <c r="U10" s="8">
        <v>111</v>
      </c>
      <c r="V10" t="s">
        <v>68</v>
      </c>
      <c r="W10" t="s">
        <v>16</v>
      </c>
      <c r="X10" t="s">
        <v>59</v>
      </c>
      <c r="Y10" t="s">
        <v>17</v>
      </c>
    </row>
    <row r="11" spans="1:25" x14ac:dyDescent="0.2">
      <c r="B11" t="s">
        <v>122</v>
      </c>
      <c r="C11" t="str">
        <f t="shared" si="0"/>
        <v>7330_1</v>
      </c>
      <c r="D11">
        <v>7330</v>
      </c>
      <c r="E11">
        <v>1</v>
      </c>
      <c r="F11">
        <v>1</v>
      </c>
      <c r="G11" t="s">
        <v>59</v>
      </c>
      <c r="H11">
        <v>10</v>
      </c>
      <c r="I11">
        <v>50</v>
      </c>
      <c r="J11">
        <v>7330</v>
      </c>
      <c r="K11">
        <v>314.5</v>
      </c>
      <c r="L11">
        <v>0.98148148148148151</v>
      </c>
      <c r="M11">
        <v>53</v>
      </c>
      <c r="N11" t="s">
        <v>100</v>
      </c>
      <c r="O11" t="s">
        <v>100</v>
      </c>
      <c r="P11">
        <v>112</v>
      </c>
      <c r="Q11">
        <v>114</v>
      </c>
      <c r="R11">
        <v>12</v>
      </c>
      <c r="S11">
        <v>124</v>
      </c>
      <c r="T11">
        <v>116</v>
      </c>
      <c r="U11">
        <v>126</v>
      </c>
      <c r="V11" t="s">
        <v>69</v>
      </c>
      <c r="W11" t="s">
        <v>16</v>
      </c>
      <c r="X11" t="s">
        <v>59</v>
      </c>
      <c r="Y11" t="s">
        <v>17</v>
      </c>
    </row>
    <row r="12" spans="1:25" s="1" customFormat="1" x14ac:dyDescent="0.2">
      <c r="B12" s="1" t="s">
        <v>123</v>
      </c>
      <c r="C12" s="1" t="str">
        <f t="shared" si="0"/>
        <v>7331_2</v>
      </c>
      <c r="D12" s="1">
        <v>7331</v>
      </c>
      <c r="E12" s="1">
        <v>2</v>
      </c>
      <c r="F12" s="1">
        <v>1</v>
      </c>
      <c r="G12" s="1" t="s">
        <v>59</v>
      </c>
      <c r="H12" s="1">
        <v>11</v>
      </c>
      <c r="I12" s="1">
        <v>51</v>
      </c>
      <c r="J12" s="1" t="e">
        <v>#N/A</v>
      </c>
      <c r="N12" s="1" t="s">
        <v>100</v>
      </c>
      <c r="O12" s="1" t="s">
        <v>100</v>
      </c>
      <c r="P12" s="1">
        <v>102</v>
      </c>
      <c r="Q12" s="25">
        <v>106</v>
      </c>
      <c r="R12" s="1">
        <v>12</v>
      </c>
      <c r="S12" s="1">
        <v>102</v>
      </c>
      <c r="T12" s="1">
        <v>116</v>
      </c>
      <c r="U12" s="1">
        <v>89</v>
      </c>
      <c r="V12" s="1" t="s">
        <v>70</v>
      </c>
      <c r="W12" s="1" t="s">
        <v>16</v>
      </c>
      <c r="X12" s="1" t="s">
        <v>59</v>
      </c>
      <c r="Y12" s="1" t="s">
        <v>17</v>
      </c>
    </row>
    <row r="13" spans="1:25" x14ac:dyDescent="0.2">
      <c r="B13" s="4" t="s">
        <v>124</v>
      </c>
      <c r="C13" t="str">
        <f t="shared" si="0"/>
        <v>7371_2</v>
      </c>
      <c r="D13">
        <v>7371</v>
      </c>
      <c r="E13">
        <v>2</v>
      </c>
      <c r="F13">
        <v>1</v>
      </c>
      <c r="G13" t="s">
        <v>59</v>
      </c>
      <c r="H13">
        <v>12</v>
      </c>
      <c r="I13">
        <v>52</v>
      </c>
      <c r="J13">
        <v>7371</v>
      </c>
      <c r="K13">
        <v>386</v>
      </c>
      <c r="L13">
        <v>1</v>
      </c>
      <c r="M13">
        <v>54</v>
      </c>
      <c r="N13" t="s">
        <v>100</v>
      </c>
      <c r="O13" t="s">
        <v>100</v>
      </c>
      <c r="P13">
        <v>124</v>
      </c>
      <c r="Q13">
        <v>116</v>
      </c>
      <c r="R13" s="7">
        <v>8.9527999999999999</v>
      </c>
      <c r="S13">
        <v>140</v>
      </c>
      <c r="T13">
        <v>145</v>
      </c>
      <c r="U13">
        <v>125</v>
      </c>
      <c r="V13" t="s">
        <v>71</v>
      </c>
      <c r="W13" t="s">
        <v>16</v>
      </c>
      <c r="X13" t="s">
        <v>59</v>
      </c>
      <c r="Y13" t="s">
        <v>17</v>
      </c>
    </row>
    <row r="14" spans="1:25" x14ac:dyDescent="0.2">
      <c r="B14" s="4" t="s">
        <v>125</v>
      </c>
      <c r="C14" t="str">
        <f t="shared" si="0"/>
        <v>7372_3</v>
      </c>
      <c r="D14">
        <v>7372</v>
      </c>
      <c r="E14">
        <v>3</v>
      </c>
      <c r="F14">
        <v>1</v>
      </c>
      <c r="G14" t="s">
        <v>59</v>
      </c>
      <c r="H14">
        <v>13</v>
      </c>
      <c r="I14">
        <v>53</v>
      </c>
      <c r="J14">
        <v>7372</v>
      </c>
      <c r="K14">
        <v>235.5</v>
      </c>
      <c r="L14">
        <v>0.98148148148148151</v>
      </c>
      <c r="M14">
        <v>53</v>
      </c>
      <c r="N14" t="s">
        <v>100</v>
      </c>
      <c r="O14" t="s">
        <v>100</v>
      </c>
      <c r="P14">
        <v>102</v>
      </c>
      <c r="Q14">
        <v>105</v>
      </c>
      <c r="R14" s="7">
        <v>9.0821000000000005</v>
      </c>
      <c r="S14">
        <v>104</v>
      </c>
      <c r="T14">
        <v>93</v>
      </c>
      <c r="U14">
        <v>113</v>
      </c>
      <c r="V14" t="s">
        <v>72</v>
      </c>
      <c r="W14" t="s">
        <v>16</v>
      </c>
      <c r="X14" t="s">
        <v>59</v>
      </c>
      <c r="Y14" t="s">
        <v>39</v>
      </c>
    </row>
    <row r="15" spans="1:25" x14ac:dyDescent="0.2">
      <c r="B15" t="s">
        <v>126</v>
      </c>
      <c r="C15" t="str">
        <f t="shared" si="0"/>
        <v>7384_1</v>
      </c>
      <c r="D15">
        <v>7384</v>
      </c>
      <c r="E15">
        <v>1</v>
      </c>
      <c r="F15">
        <v>1</v>
      </c>
      <c r="G15" t="s">
        <v>59</v>
      </c>
      <c r="H15">
        <v>14</v>
      </c>
      <c r="I15">
        <v>54</v>
      </c>
      <c r="J15">
        <v>7384</v>
      </c>
      <c r="K15">
        <v>427</v>
      </c>
      <c r="L15">
        <v>0.96296296000000003</v>
      </c>
      <c r="M15">
        <v>52</v>
      </c>
      <c r="N15" t="s">
        <v>100</v>
      </c>
      <c r="O15" t="s">
        <v>100</v>
      </c>
      <c r="P15">
        <v>123</v>
      </c>
      <c r="Q15" s="6">
        <v>114</v>
      </c>
      <c r="R15">
        <v>7</v>
      </c>
      <c r="S15">
        <v>110</v>
      </c>
      <c r="T15">
        <v>108</v>
      </c>
      <c r="U15">
        <v>109</v>
      </c>
      <c r="V15" t="s">
        <v>73</v>
      </c>
      <c r="W15" t="s">
        <v>16</v>
      </c>
      <c r="X15" t="s">
        <v>59</v>
      </c>
      <c r="Y15" t="s">
        <v>17</v>
      </c>
    </row>
    <row r="16" spans="1:25" x14ac:dyDescent="0.2">
      <c r="B16" t="s">
        <v>127</v>
      </c>
      <c r="C16" t="str">
        <f t="shared" si="0"/>
        <v>7395_1</v>
      </c>
      <c r="D16">
        <v>7395</v>
      </c>
      <c r="E16">
        <v>1</v>
      </c>
      <c r="F16">
        <v>1</v>
      </c>
      <c r="G16" t="s">
        <v>59</v>
      </c>
      <c r="H16">
        <v>15</v>
      </c>
      <c r="I16">
        <v>55</v>
      </c>
      <c r="J16">
        <v>7395</v>
      </c>
      <c r="K16">
        <v>255.5</v>
      </c>
      <c r="L16">
        <v>1</v>
      </c>
      <c r="M16">
        <v>54</v>
      </c>
      <c r="N16" t="s">
        <v>100</v>
      </c>
      <c r="O16" t="s">
        <v>100</v>
      </c>
      <c r="P16">
        <v>124</v>
      </c>
      <c r="Q16" s="6">
        <v>124</v>
      </c>
      <c r="R16">
        <v>8</v>
      </c>
      <c r="S16">
        <v>120</v>
      </c>
      <c r="T16">
        <v>108</v>
      </c>
      <c r="U16">
        <v>128</v>
      </c>
      <c r="V16" t="s">
        <v>74</v>
      </c>
      <c r="W16" t="s">
        <v>16</v>
      </c>
      <c r="X16" t="s">
        <v>59</v>
      </c>
      <c r="Y16" t="s">
        <v>17</v>
      </c>
    </row>
    <row r="17" spans="2:25" x14ac:dyDescent="0.2">
      <c r="B17" t="s">
        <v>128</v>
      </c>
      <c r="C17" t="str">
        <f t="shared" si="0"/>
        <v>7413_1</v>
      </c>
      <c r="D17">
        <v>7413</v>
      </c>
      <c r="E17">
        <v>1</v>
      </c>
      <c r="F17">
        <v>1</v>
      </c>
      <c r="G17" t="s">
        <v>59</v>
      </c>
      <c r="H17">
        <v>16</v>
      </c>
      <c r="I17">
        <v>56</v>
      </c>
      <c r="J17">
        <v>7413</v>
      </c>
      <c r="K17">
        <v>332.5</v>
      </c>
      <c r="L17">
        <v>0.94444444444444442</v>
      </c>
      <c r="M17">
        <v>51</v>
      </c>
      <c r="N17" t="s">
        <v>100</v>
      </c>
      <c r="O17" t="s">
        <v>100</v>
      </c>
      <c r="P17">
        <v>108</v>
      </c>
      <c r="Q17">
        <v>106</v>
      </c>
      <c r="R17">
        <v>9</v>
      </c>
      <c r="S17">
        <v>113</v>
      </c>
      <c r="T17">
        <v>111</v>
      </c>
      <c r="U17">
        <v>110</v>
      </c>
      <c r="V17" t="s">
        <v>75</v>
      </c>
      <c r="W17" t="s">
        <v>16</v>
      </c>
      <c r="X17" t="s">
        <v>59</v>
      </c>
      <c r="Y17" t="s">
        <v>17</v>
      </c>
    </row>
    <row r="18" spans="2:25" x14ac:dyDescent="0.2">
      <c r="B18" t="s">
        <v>129</v>
      </c>
      <c r="C18" t="str">
        <f t="shared" si="0"/>
        <v>7437_2</v>
      </c>
      <c r="D18">
        <v>7437</v>
      </c>
      <c r="E18">
        <v>2</v>
      </c>
      <c r="F18">
        <v>1</v>
      </c>
      <c r="G18" t="s">
        <v>59</v>
      </c>
      <c r="H18">
        <v>17</v>
      </c>
      <c r="I18">
        <v>57</v>
      </c>
      <c r="J18">
        <v>7437</v>
      </c>
      <c r="K18">
        <v>327</v>
      </c>
      <c r="L18">
        <v>0.96296296000000003</v>
      </c>
      <c r="M18">
        <v>52</v>
      </c>
      <c r="N18" t="s">
        <v>100</v>
      </c>
      <c r="O18" t="s">
        <v>100</v>
      </c>
      <c r="P18">
        <v>115</v>
      </c>
      <c r="Q18">
        <v>129</v>
      </c>
      <c r="R18">
        <v>14</v>
      </c>
      <c r="S18">
        <v>135</v>
      </c>
      <c r="T18">
        <v>131</v>
      </c>
      <c r="U18">
        <v>131</v>
      </c>
      <c r="V18" t="s">
        <v>76</v>
      </c>
      <c r="W18" t="s">
        <v>19</v>
      </c>
      <c r="X18" t="s">
        <v>59</v>
      </c>
      <c r="Y18" t="s">
        <v>17</v>
      </c>
    </row>
    <row r="19" spans="2:25" x14ac:dyDescent="0.2">
      <c r="B19" s="3" t="s">
        <v>130</v>
      </c>
      <c r="C19" t="str">
        <f t="shared" si="0"/>
        <v>7438_2</v>
      </c>
      <c r="D19">
        <v>7438</v>
      </c>
      <c r="E19">
        <v>2</v>
      </c>
      <c r="F19">
        <v>1</v>
      </c>
      <c r="G19" t="s">
        <v>59</v>
      </c>
      <c r="H19">
        <v>18</v>
      </c>
      <c r="I19">
        <v>58</v>
      </c>
      <c r="J19">
        <v>7438</v>
      </c>
      <c r="K19">
        <v>205</v>
      </c>
      <c r="L19">
        <v>1</v>
      </c>
      <c r="M19">
        <v>54</v>
      </c>
      <c r="N19" t="s">
        <v>100</v>
      </c>
      <c r="O19" t="s">
        <v>100</v>
      </c>
      <c r="P19">
        <v>117</v>
      </c>
      <c r="Q19" s="6">
        <v>134</v>
      </c>
      <c r="R19" s="7">
        <v>11.158799999999999</v>
      </c>
      <c r="S19">
        <v>127</v>
      </c>
      <c r="T19">
        <v>126</v>
      </c>
      <c r="U19">
        <v>122</v>
      </c>
      <c r="V19" t="s">
        <v>77</v>
      </c>
      <c r="W19" t="s">
        <v>16</v>
      </c>
      <c r="X19" t="s">
        <v>59</v>
      </c>
      <c r="Y19" t="s">
        <v>17</v>
      </c>
    </row>
    <row r="20" spans="2:25" x14ac:dyDescent="0.2">
      <c r="B20" t="s">
        <v>131</v>
      </c>
      <c r="C20" t="str">
        <f t="shared" si="0"/>
        <v>7446_1</v>
      </c>
      <c r="D20">
        <v>7446</v>
      </c>
      <c r="E20">
        <v>1</v>
      </c>
      <c r="F20">
        <v>1</v>
      </c>
      <c r="G20" t="s">
        <v>59</v>
      </c>
      <c r="H20">
        <v>19</v>
      </c>
      <c r="I20">
        <v>59</v>
      </c>
      <c r="J20">
        <v>7446</v>
      </c>
      <c r="K20">
        <v>760.5</v>
      </c>
      <c r="L20">
        <v>0.98148148148148151</v>
      </c>
      <c r="M20">
        <v>53</v>
      </c>
      <c r="N20" t="s">
        <v>100</v>
      </c>
      <c r="O20" t="s">
        <v>100</v>
      </c>
      <c r="P20">
        <v>119</v>
      </c>
      <c r="Q20">
        <v>120</v>
      </c>
      <c r="R20" s="7">
        <v>7.8979999999999997</v>
      </c>
      <c r="S20">
        <v>127</v>
      </c>
      <c r="T20">
        <v>102</v>
      </c>
      <c r="U20">
        <v>148</v>
      </c>
      <c r="V20" t="s">
        <v>78</v>
      </c>
      <c r="W20" t="s">
        <v>16</v>
      </c>
      <c r="X20" t="s">
        <v>59</v>
      </c>
      <c r="Y20" t="s">
        <v>39</v>
      </c>
    </row>
    <row r="21" spans="2:25" x14ac:dyDescent="0.2">
      <c r="B21" s="3" t="s">
        <v>132</v>
      </c>
      <c r="C21" t="str">
        <f t="shared" si="0"/>
        <v>7489_3</v>
      </c>
      <c r="D21">
        <v>7489</v>
      </c>
      <c r="E21">
        <v>3</v>
      </c>
      <c r="F21">
        <v>1</v>
      </c>
      <c r="G21" t="s">
        <v>59</v>
      </c>
      <c r="H21">
        <v>20</v>
      </c>
      <c r="I21">
        <v>60</v>
      </c>
      <c r="J21">
        <v>7489</v>
      </c>
      <c r="K21">
        <v>485</v>
      </c>
      <c r="L21">
        <v>1</v>
      </c>
      <c r="M21">
        <v>54</v>
      </c>
      <c r="N21" t="s">
        <v>100</v>
      </c>
      <c r="O21" t="s">
        <v>100</v>
      </c>
      <c r="P21">
        <v>99</v>
      </c>
      <c r="Q21">
        <v>101</v>
      </c>
      <c r="R21" s="7">
        <v>9.4600000000000009</v>
      </c>
      <c r="S21">
        <v>108</v>
      </c>
      <c r="T21">
        <v>109</v>
      </c>
      <c r="U21">
        <v>105</v>
      </c>
      <c r="V21" t="s">
        <v>79</v>
      </c>
      <c r="W21" t="s">
        <v>16</v>
      </c>
      <c r="X21" t="s">
        <v>59</v>
      </c>
      <c r="Y21" t="s">
        <v>39</v>
      </c>
    </row>
    <row r="22" spans="2:25" x14ac:dyDescent="0.2">
      <c r="B22" s="4" t="s">
        <v>133</v>
      </c>
      <c r="C22" t="str">
        <f t="shared" si="0"/>
        <v>7498_2</v>
      </c>
      <c r="D22">
        <v>7498</v>
      </c>
      <c r="E22">
        <v>2</v>
      </c>
      <c r="F22">
        <v>1</v>
      </c>
      <c r="G22" t="s">
        <v>59</v>
      </c>
      <c r="H22">
        <v>21</v>
      </c>
      <c r="I22">
        <v>61</v>
      </c>
      <c r="J22">
        <v>7498</v>
      </c>
      <c r="K22">
        <v>338.5</v>
      </c>
      <c r="L22">
        <v>0.92592592592592593</v>
      </c>
      <c r="M22">
        <v>50</v>
      </c>
      <c r="N22" t="s">
        <v>100</v>
      </c>
      <c r="O22" t="s">
        <v>100</v>
      </c>
      <c r="P22">
        <v>112</v>
      </c>
      <c r="Q22">
        <v>120</v>
      </c>
      <c r="R22" s="7">
        <v>8.1450999999999993</v>
      </c>
      <c r="S22">
        <v>103</v>
      </c>
      <c r="T22">
        <v>89</v>
      </c>
      <c r="U22">
        <v>116</v>
      </c>
      <c r="V22" t="s">
        <v>80</v>
      </c>
      <c r="W22" t="s">
        <v>16</v>
      </c>
      <c r="X22" t="s">
        <v>59</v>
      </c>
      <c r="Y22" t="s">
        <v>39</v>
      </c>
    </row>
    <row r="23" spans="2:25" x14ac:dyDescent="0.2">
      <c r="B23" t="s">
        <v>134</v>
      </c>
      <c r="C23" t="str">
        <f t="shared" si="0"/>
        <v>7540_1</v>
      </c>
      <c r="D23">
        <v>7540</v>
      </c>
      <c r="E23">
        <v>1</v>
      </c>
      <c r="F23">
        <v>1</v>
      </c>
      <c r="G23" t="s">
        <v>59</v>
      </c>
      <c r="H23">
        <v>22</v>
      </c>
      <c r="I23">
        <v>62</v>
      </c>
      <c r="J23">
        <v>7540</v>
      </c>
      <c r="K23">
        <v>500.5</v>
      </c>
      <c r="L23">
        <v>0.98148148000000002</v>
      </c>
      <c r="M23">
        <v>53</v>
      </c>
      <c r="N23" t="s">
        <v>100</v>
      </c>
      <c r="O23" t="s">
        <v>100</v>
      </c>
      <c r="P23">
        <v>116</v>
      </c>
      <c r="Q23">
        <v>123</v>
      </c>
      <c r="R23">
        <v>15</v>
      </c>
      <c r="S23">
        <v>112</v>
      </c>
      <c r="T23">
        <v>115</v>
      </c>
      <c r="U23">
        <v>107</v>
      </c>
      <c r="V23" t="s">
        <v>81</v>
      </c>
      <c r="W23" t="s">
        <v>19</v>
      </c>
      <c r="X23" t="s">
        <v>59</v>
      </c>
      <c r="Y23" t="s">
        <v>17</v>
      </c>
    </row>
    <row r="24" spans="2:25" x14ac:dyDescent="0.2">
      <c r="B24" t="s">
        <v>135</v>
      </c>
      <c r="C24" t="str">
        <f t="shared" si="0"/>
        <v>7543_1</v>
      </c>
      <c r="D24">
        <v>7543</v>
      </c>
      <c r="E24">
        <v>1</v>
      </c>
      <c r="F24">
        <v>1</v>
      </c>
      <c r="G24" t="s">
        <v>59</v>
      </c>
      <c r="H24">
        <v>23</v>
      </c>
      <c r="I24">
        <v>63</v>
      </c>
      <c r="J24">
        <v>7543</v>
      </c>
      <c r="K24">
        <v>210.5</v>
      </c>
      <c r="L24">
        <v>1</v>
      </c>
      <c r="M24">
        <v>54</v>
      </c>
      <c r="N24" t="s">
        <v>100</v>
      </c>
      <c r="O24" t="s">
        <v>100</v>
      </c>
      <c r="P24">
        <v>108</v>
      </c>
      <c r="Q24">
        <v>86</v>
      </c>
      <c r="R24">
        <v>17</v>
      </c>
      <c r="S24">
        <v>108</v>
      </c>
      <c r="T24">
        <v>108</v>
      </c>
      <c r="U24">
        <v>107</v>
      </c>
      <c r="V24" t="s">
        <v>82</v>
      </c>
      <c r="W24" t="s">
        <v>19</v>
      </c>
      <c r="X24" t="s">
        <v>59</v>
      </c>
      <c r="Y24" t="s">
        <v>17</v>
      </c>
    </row>
    <row r="25" spans="2:25" x14ac:dyDescent="0.2">
      <c r="B25" s="3" t="s">
        <v>136</v>
      </c>
      <c r="C25" t="str">
        <f t="shared" si="0"/>
        <v>7544_1</v>
      </c>
      <c r="D25">
        <v>7544</v>
      </c>
      <c r="E25">
        <v>1</v>
      </c>
      <c r="F25">
        <v>1</v>
      </c>
      <c r="G25" t="s">
        <v>59</v>
      </c>
      <c r="H25">
        <v>24</v>
      </c>
      <c r="I25">
        <v>64</v>
      </c>
      <c r="J25">
        <v>7544</v>
      </c>
      <c r="K25">
        <v>363.5</v>
      </c>
      <c r="L25">
        <v>1</v>
      </c>
      <c r="M25">
        <v>54</v>
      </c>
      <c r="N25" t="s">
        <v>100</v>
      </c>
      <c r="O25" t="s">
        <v>100</v>
      </c>
      <c r="P25">
        <v>122</v>
      </c>
      <c r="Q25">
        <v>126</v>
      </c>
      <c r="R25" s="7">
        <v>10.991099999999999</v>
      </c>
      <c r="S25">
        <v>124</v>
      </c>
      <c r="T25">
        <v>128</v>
      </c>
      <c r="U25">
        <v>114</v>
      </c>
      <c r="V25" t="s">
        <v>83</v>
      </c>
      <c r="W25" t="s">
        <v>16</v>
      </c>
      <c r="X25" t="s">
        <v>59</v>
      </c>
      <c r="Y25" t="s">
        <v>17</v>
      </c>
    </row>
    <row r="26" spans="2:25" x14ac:dyDescent="0.2">
      <c r="B26" s="4" t="s">
        <v>137</v>
      </c>
      <c r="C26" t="str">
        <f t="shared" si="0"/>
        <v>7552_1</v>
      </c>
      <c r="D26">
        <v>7552</v>
      </c>
      <c r="E26">
        <v>1</v>
      </c>
      <c r="F26">
        <v>1</v>
      </c>
      <c r="G26" t="s">
        <v>59</v>
      </c>
      <c r="H26">
        <v>25</v>
      </c>
      <c r="I26">
        <v>65</v>
      </c>
      <c r="J26">
        <v>7552</v>
      </c>
      <c r="K26">
        <v>279.5</v>
      </c>
      <c r="L26">
        <v>0.98148148148148151</v>
      </c>
      <c r="M26">
        <v>53</v>
      </c>
      <c r="N26" t="s">
        <v>100</v>
      </c>
      <c r="O26" t="s">
        <v>100</v>
      </c>
      <c r="P26">
        <v>114</v>
      </c>
      <c r="Q26">
        <v>122</v>
      </c>
      <c r="R26" s="7">
        <v>11.4901</v>
      </c>
      <c r="S26">
        <v>127</v>
      </c>
      <c r="T26">
        <v>124</v>
      </c>
      <c r="U26">
        <v>125</v>
      </c>
      <c r="V26" t="s">
        <v>84</v>
      </c>
      <c r="W26" t="s">
        <v>16</v>
      </c>
      <c r="X26" t="s">
        <v>59</v>
      </c>
      <c r="Y26" t="s">
        <v>17</v>
      </c>
    </row>
    <row r="27" spans="2:25" x14ac:dyDescent="0.2">
      <c r="B27" s="3" t="s">
        <v>138</v>
      </c>
      <c r="C27" t="str">
        <f t="shared" si="0"/>
        <v>7571_1</v>
      </c>
      <c r="D27">
        <v>7571</v>
      </c>
      <c r="E27">
        <v>1</v>
      </c>
      <c r="F27">
        <v>1</v>
      </c>
      <c r="G27" t="s">
        <v>59</v>
      </c>
      <c r="H27">
        <v>26</v>
      </c>
      <c r="I27">
        <v>66</v>
      </c>
      <c r="J27">
        <v>7571</v>
      </c>
      <c r="K27">
        <v>312</v>
      </c>
      <c r="L27">
        <v>1</v>
      </c>
      <c r="M27">
        <v>54</v>
      </c>
      <c r="N27" t="s">
        <v>100</v>
      </c>
      <c r="O27" t="s">
        <v>100</v>
      </c>
      <c r="P27">
        <v>122</v>
      </c>
      <c r="Q27">
        <v>114</v>
      </c>
      <c r="R27" s="7">
        <v>11.876099999999999</v>
      </c>
      <c r="S27">
        <v>130</v>
      </c>
      <c r="T27">
        <v>128</v>
      </c>
      <c r="U27">
        <v>126</v>
      </c>
      <c r="V27" t="s">
        <v>85</v>
      </c>
      <c r="W27" t="s">
        <v>16</v>
      </c>
      <c r="X27" t="s">
        <v>59</v>
      </c>
      <c r="Y27" t="s">
        <v>17</v>
      </c>
    </row>
    <row r="28" spans="2:25" x14ac:dyDescent="0.2">
      <c r="B28" s="3" t="s">
        <v>139</v>
      </c>
      <c r="C28" t="str">
        <f t="shared" si="0"/>
        <v>7589_1</v>
      </c>
      <c r="D28">
        <v>7589</v>
      </c>
      <c r="E28">
        <v>1</v>
      </c>
      <c r="F28">
        <v>1</v>
      </c>
      <c r="G28" t="s">
        <v>59</v>
      </c>
      <c r="H28">
        <v>27</v>
      </c>
      <c r="I28">
        <v>67</v>
      </c>
      <c r="J28">
        <v>7589</v>
      </c>
      <c r="K28">
        <v>316</v>
      </c>
      <c r="L28">
        <v>1</v>
      </c>
      <c r="M28">
        <v>54</v>
      </c>
      <c r="N28" t="s">
        <v>100</v>
      </c>
      <c r="O28" t="s">
        <v>100</v>
      </c>
      <c r="P28" s="9">
        <v>86</v>
      </c>
      <c r="Q28" s="9">
        <v>111</v>
      </c>
      <c r="R28" s="10">
        <v>12.5777</v>
      </c>
      <c r="S28">
        <v>117</v>
      </c>
      <c r="T28">
        <v>107</v>
      </c>
      <c r="U28">
        <v>123</v>
      </c>
      <c r="V28" t="s">
        <v>86</v>
      </c>
      <c r="W28" t="s">
        <v>16</v>
      </c>
      <c r="X28" t="s">
        <v>59</v>
      </c>
      <c r="Y28" t="s">
        <v>17</v>
      </c>
    </row>
    <row r="29" spans="2:25" x14ac:dyDescent="0.2">
      <c r="B29" t="s">
        <v>140</v>
      </c>
      <c r="C29" t="str">
        <f t="shared" si="0"/>
        <v>7623_1</v>
      </c>
      <c r="D29">
        <v>7623</v>
      </c>
      <c r="E29">
        <v>1</v>
      </c>
      <c r="F29">
        <v>1</v>
      </c>
      <c r="G29" t="s">
        <v>59</v>
      </c>
      <c r="H29">
        <v>28</v>
      </c>
      <c r="I29">
        <v>68</v>
      </c>
      <c r="J29">
        <v>7623</v>
      </c>
      <c r="K29">
        <v>257.5</v>
      </c>
      <c r="L29">
        <v>1</v>
      </c>
      <c r="M29">
        <v>54</v>
      </c>
      <c r="N29" t="s">
        <v>100</v>
      </c>
      <c r="O29" t="s">
        <v>100</v>
      </c>
      <c r="P29">
        <v>109</v>
      </c>
      <c r="Q29">
        <v>113</v>
      </c>
      <c r="R29">
        <v>14</v>
      </c>
      <c r="S29">
        <v>112</v>
      </c>
      <c r="T29">
        <v>108</v>
      </c>
      <c r="U29">
        <v>113</v>
      </c>
      <c r="V29" t="s">
        <v>87</v>
      </c>
      <c r="W29" t="s">
        <v>19</v>
      </c>
      <c r="X29" t="s">
        <v>59</v>
      </c>
      <c r="Y29" t="s">
        <v>39</v>
      </c>
    </row>
    <row r="30" spans="2:25" x14ac:dyDescent="0.2">
      <c r="B30" t="s">
        <v>141</v>
      </c>
      <c r="C30" t="str">
        <f t="shared" si="0"/>
        <v>7652_1</v>
      </c>
      <c r="D30">
        <v>7652</v>
      </c>
      <c r="E30">
        <v>1</v>
      </c>
      <c r="F30">
        <v>1</v>
      </c>
      <c r="G30" t="s">
        <v>59</v>
      </c>
      <c r="H30">
        <v>29</v>
      </c>
      <c r="I30">
        <v>69</v>
      </c>
      <c r="J30">
        <v>7652</v>
      </c>
      <c r="K30">
        <v>332</v>
      </c>
      <c r="L30">
        <v>1</v>
      </c>
      <c r="M30">
        <v>54</v>
      </c>
      <c r="N30" t="s">
        <v>100</v>
      </c>
      <c r="O30" t="s">
        <v>100</v>
      </c>
      <c r="P30">
        <v>117</v>
      </c>
      <c r="Q30">
        <v>127</v>
      </c>
      <c r="R30">
        <v>15</v>
      </c>
      <c r="S30">
        <v>109</v>
      </c>
      <c r="T30">
        <v>98</v>
      </c>
      <c r="U30">
        <v>119</v>
      </c>
      <c r="V30" t="s">
        <v>88</v>
      </c>
      <c r="W30" t="s">
        <v>19</v>
      </c>
      <c r="X30" t="s">
        <v>59</v>
      </c>
      <c r="Y30" t="s">
        <v>17</v>
      </c>
    </row>
    <row r="31" spans="2:25" x14ac:dyDescent="0.2">
      <c r="B31" t="s">
        <v>142</v>
      </c>
      <c r="C31" t="str">
        <f t="shared" si="0"/>
        <v>7666_1</v>
      </c>
      <c r="D31">
        <v>7666</v>
      </c>
      <c r="E31">
        <v>1</v>
      </c>
      <c r="F31">
        <v>1</v>
      </c>
      <c r="G31" t="s">
        <v>59</v>
      </c>
      <c r="H31">
        <v>30</v>
      </c>
      <c r="I31">
        <v>70</v>
      </c>
      <c r="J31">
        <v>7666</v>
      </c>
      <c r="K31">
        <v>327</v>
      </c>
      <c r="L31">
        <v>0.96296296000000003</v>
      </c>
      <c r="M31">
        <v>52</v>
      </c>
      <c r="N31" t="s">
        <v>100</v>
      </c>
      <c r="O31" t="s">
        <v>100</v>
      </c>
      <c r="P31">
        <v>110</v>
      </c>
      <c r="Q31">
        <v>110</v>
      </c>
      <c r="R31">
        <v>12</v>
      </c>
      <c r="S31">
        <v>118</v>
      </c>
      <c r="T31">
        <v>117</v>
      </c>
      <c r="U31">
        <v>116</v>
      </c>
      <c r="V31" t="s">
        <v>89</v>
      </c>
      <c r="W31" t="s">
        <v>19</v>
      </c>
      <c r="X31" t="s">
        <v>59</v>
      </c>
      <c r="Y31" t="s">
        <v>17</v>
      </c>
    </row>
    <row r="32" spans="2:25" x14ac:dyDescent="0.2">
      <c r="B32" t="s">
        <v>143</v>
      </c>
      <c r="C32" t="str">
        <f t="shared" si="0"/>
        <v>7669_1</v>
      </c>
      <c r="D32">
        <v>7669</v>
      </c>
      <c r="E32">
        <v>1</v>
      </c>
      <c r="F32">
        <v>1</v>
      </c>
      <c r="G32" t="s">
        <v>59</v>
      </c>
      <c r="H32">
        <v>31</v>
      </c>
      <c r="I32">
        <v>71</v>
      </c>
      <c r="J32">
        <v>7669</v>
      </c>
      <c r="K32">
        <v>355</v>
      </c>
      <c r="L32">
        <v>1</v>
      </c>
      <c r="M32">
        <v>54</v>
      </c>
      <c r="N32" t="s">
        <v>100</v>
      </c>
      <c r="O32" t="s">
        <v>100</v>
      </c>
      <c r="P32">
        <v>116</v>
      </c>
      <c r="Q32">
        <v>131</v>
      </c>
      <c r="R32">
        <v>16</v>
      </c>
      <c r="S32">
        <v>114</v>
      </c>
      <c r="T32">
        <v>104</v>
      </c>
      <c r="U32">
        <v>121</v>
      </c>
      <c r="V32" t="s">
        <v>90</v>
      </c>
      <c r="W32" t="s">
        <v>19</v>
      </c>
      <c r="X32" t="s">
        <v>59</v>
      </c>
      <c r="Y32" t="s">
        <v>39</v>
      </c>
    </row>
    <row r="33" spans="2:25" x14ac:dyDescent="0.2">
      <c r="B33" t="s">
        <v>144</v>
      </c>
      <c r="C33" t="str">
        <f t="shared" si="0"/>
        <v>7676_1</v>
      </c>
      <c r="D33">
        <v>7676</v>
      </c>
      <c r="E33">
        <v>1</v>
      </c>
      <c r="F33">
        <v>1</v>
      </c>
      <c r="G33" t="s">
        <v>59</v>
      </c>
      <c r="H33">
        <v>32</v>
      </c>
      <c r="I33">
        <v>72</v>
      </c>
      <c r="J33">
        <v>7676</v>
      </c>
      <c r="K33">
        <v>388.5</v>
      </c>
      <c r="L33">
        <v>1</v>
      </c>
      <c r="M33">
        <v>54</v>
      </c>
      <c r="N33" t="s">
        <v>100</v>
      </c>
      <c r="O33" t="s">
        <v>100</v>
      </c>
      <c r="P33">
        <v>111</v>
      </c>
      <c r="Q33">
        <v>115</v>
      </c>
      <c r="R33">
        <v>13</v>
      </c>
      <c r="S33">
        <v>127</v>
      </c>
      <c r="T33">
        <v>129</v>
      </c>
      <c r="U33">
        <v>119</v>
      </c>
      <c r="V33" t="s">
        <v>91</v>
      </c>
      <c r="W33" t="s">
        <v>19</v>
      </c>
      <c r="X33" t="s">
        <v>59</v>
      </c>
      <c r="Y33" t="s">
        <v>17</v>
      </c>
    </row>
    <row r="34" spans="2:25" x14ac:dyDescent="0.2">
      <c r="B34" t="s">
        <v>145</v>
      </c>
      <c r="C34" t="str">
        <f t="shared" si="0"/>
        <v>7679_1</v>
      </c>
      <c r="D34">
        <v>7679</v>
      </c>
      <c r="E34">
        <v>1</v>
      </c>
      <c r="F34">
        <v>1</v>
      </c>
      <c r="G34" t="s">
        <v>59</v>
      </c>
      <c r="H34">
        <v>33</v>
      </c>
      <c r="I34">
        <v>73</v>
      </c>
      <c r="J34">
        <v>7679</v>
      </c>
      <c r="K34">
        <v>397</v>
      </c>
      <c r="L34">
        <v>1</v>
      </c>
      <c r="M34">
        <v>54</v>
      </c>
      <c r="N34" t="s">
        <v>100</v>
      </c>
      <c r="O34" t="s">
        <v>100</v>
      </c>
      <c r="P34">
        <v>115</v>
      </c>
      <c r="Q34">
        <v>131</v>
      </c>
      <c r="R34">
        <v>16</v>
      </c>
      <c r="S34">
        <v>108</v>
      </c>
      <c r="T34">
        <v>98</v>
      </c>
      <c r="U34">
        <v>118</v>
      </c>
      <c r="V34" t="s">
        <v>92</v>
      </c>
      <c r="W34" t="s">
        <v>19</v>
      </c>
      <c r="X34" t="s">
        <v>59</v>
      </c>
      <c r="Y34" t="s">
        <v>17</v>
      </c>
    </row>
    <row r="35" spans="2:25" x14ac:dyDescent="0.2">
      <c r="B35" t="s">
        <v>146</v>
      </c>
      <c r="C35" t="str">
        <f t="shared" si="0"/>
        <v>7680_1</v>
      </c>
      <c r="D35">
        <v>7680</v>
      </c>
      <c r="E35">
        <v>1</v>
      </c>
      <c r="F35">
        <v>1</v>
      </c>
      <c r="G35" t="s">
        <v>59</v>
      </c>
      <c r="H35">
        <v>34</v>
      </c>
      <c r="I35">
        <v>74</v>
      </c>
      <c r="J35">
        <v>7680</v>
      </c>
      <c r="K35">
        <v>279</v>
      </c>
      <c r="L35">
        <v>1</v>
      </c>
      <c r="M35">
        <v>54</v>
      </c>
      <c r="N35" t="s">
        <v>100</v>
      </c>
      <c r="O35" t="s">
        <v>100</v>
      </c>
      <c r="P35">
        <v>115</v>
      </c>
      <c r="Q35">
        <v>133</v>
      </c>
      <c r="R35">
        <v>15</v>
      </c>
      <c r="S35">
        <v>114</v>
      </c>
      <c r="T35">
        <v>112</v>
      </c>
      <c r="U35">
        <v>112</v>
      </c>
      <c r="V35" t="s">
        <v>93</v>
      </c>
      <c r="W35" t="s">
        <v>19</v>
      </c>
      <c r="X35" t="s">
        <v>59</v>
      </c>
      <c r="Y35" t="s">
        <v>17</v>
      </c>
    </row>
    <row r="36" spans="2:25" x14ac:dyDescent="0.2">
      <c r="B36" t="s">
        <v>147</v>
      </c>
      <c r="C36" t="str">
        <f t="shared" si="0"/>
        <v>7689_1</v>
      </c>
      <c r="D36">
        <v>7689</v>
      </c>
      <c r="E36">
        <v>1</v>
      </c>
      <c r="F36">
        <v>1</v>
      </c>
      <c r="G36" t="s">
        <v>59</v>
      </c>
      <c r="H36">
        <v>35</v>
      </c>
      <c r="I36">
        <v>75</v>
      </c>
      <c r="J36">
        <v>7689</v>
      </c>
      <c r="K36">
        <v>279.5</v>
      </c>
      <c r="L36">
        <v>1</v>
      </c>
      <c r="M36">
        <v>54</v>
      </c>
      <c r="N36" t="s">
        <v>100</v>
      </c>
      <c r="O36" t="s">
        <v>100</v>
      </c>
      <c r="P36">
        <v>111</v>
      </c>
      <c r="Q36">
        <v>111</v>
      </c>
      <c r="R36">
        <v>16</v>
      </c>
      <c r="S36">
        <v>113</v>
      </c>
      <c r="T36">
        <v>107</v>
      </c>
      <c r="U36">
        <v>115</v>
      </c>
      <c r="V36" t="s">
        <v>94</v>
      </c>
      <c r="W36" t="s">
        <v>19</v>
      </c>
      <c r="X36" t="s">
        <v>59</v>
      </c>
      <c r="Y36" t="s">
        <v>17</v>
      </c>
    </row>
    <row r="37" spans="2:25" x14ac:dyDescent="0.2">
      <c r="B37" t="s">
        <v>148</v>
      </c>
      <c r="C37" t="str">
        <f t="shared" si="0"/>
        <v>7691_1</v>
      </c>
      <c r="D37">
        <v>7691</v>
      </c>
      <c r="E37">
        <v>1</v>
      </c>
      <c r="F37">
        <v>1</v>
      </c>
      <c r="G37" t="s">
        <v>59</v>
      </c>
      <c r="H37">
        <v>36</v>
      </c>
      <c r="I37">
        <v>76</v>
      </c>
      <c r="J37">
        <v>7691</v>
      </c>
      <c r="K37">
        <v>183</v>
      </c>
      <c r="L37">
        <v>0.98148148000000002</v>
      </c>
      <c r="M37">
        <v>53</v>
      </c>
      <c r="N37" t="s">
        <v>100</v>
      </c>
      <c r="O37" t="s">
        <v>100</v>
      </c>
      <c r="P37">
        <v>98</v>
      </c>
      <c r="Q37">
        <v>129</v>
      </c>
      <c r="R37">
        <v>15</v>
      </c>
      <c r="S37">
        <v>97</v>
      </c>
      <c r="T37">
        <v>89</v>
      </c>
      <c r="U37">
        <v>105</v>
      </c>
      <c r="V37" t="s">
        <v>95</v>
      </c>
      <c r="W37" t="s">
        <v>19</v>
      </c>
      <c r="X37" t="s">
        <v>59</v>
      </c>
      <c r="Y37" t="s">
        <v>39</v>
      </c>
    </row>
    <row r="38" spans="2:25" x14ac:dyDescent="0.2">
      <c r="B38" t="s">
        <v>149</v>
      </c>
      <c r="C38" t="str">
        <f t="shared" si="0"/>
        <v>7696_1</v>
      </c>
      <c r="D38">
        <v>7696</v>
      </c>
      <c r="E38">
        <v>1</v>
      </c>
      <c r="F38">
        <v>1</v>
      </c>
      <c r="G38" t="s">
        <v>59</v>
      </c>
      <c r="H38">
        <v>37</v>
      </c>
      <c r="I38">
        <v>77</v>
      </c>
      <c r="J38">
        <v>7696</v>
      </c>
      <c r="K38">
        <v>227.5</v>
      </c>
      <c r="L38">
        <v>0.98148148000000002</v>
      </c>
      <c r="M38">
        <v>53</v>
      </c>
      <c r="N38" t="s">
        <v>100</v>
      </c>
      <c r="O38" t="s">
        <v>100</v>
      </c>
      <c r="P38">
        <v>109</v>
      </c>
      <c r="Q38">
        <v>121</v>
      </c>
      <c r="R38">
        <v>14</v>
      </c>
      <c r="S38">
        <v>102</v>
      </c>
      <c r="T38">
        <v>106</v>
      </c>
      <c r="U38">
        <v>98</v>
      </c>
      <c r="V38" t="s">
        <v>96</v>
      </c>
      <c r="W38" t="s">
        <v>19</v>
      </c>
      <c r="X38" t="s">
        <v>59</v>
      </c>
      <c r="Y38" t="s">
        <v>17</v>
      </c>
    </row>
    <row r="39" spans="2:25" x14ac:dyDescent="0.2">
      <c r="B39" t="s">
        <v>150</v>
      </c>
      <c r="C39" t="str">
        <f t="shared" si="0"/>
        <v>7702_1</v>
      </c>
      <c r="D39">
        <v>7702</v>
      </c>
      <c r="E39">
        <v>1</v>
      </c>
      <c r="F39">
        <v>1</v>
      </c>
      <c r="G39" t="s">
        <v>59</v>
      </c>
      <c r="H39">
        <v>38</v>
      </c>
      <c r="I39">
        <v>78</v>
      </c>
      <c r="J39">
        <v>7702</v>
      </c>
      <c r="K39">
        <v>848.5</v>
      </c>
      <c r="L39">
        <v>0.74074074000000001</v>
      </c>
      <c r="M39">
        <v>40</v>
      </c>
      <c r="N39" t="s">
        <v>100</v>
      </c>
      <c r="O39" t="s">
        <v>100</v>
      </c>
      <c r="P39">
        <v>110</v>
      </c>
      <c r="Q39">
        <v>116</v>
      </c>
      <c r="R39">
        <v>14</v>
      </c>
      <c r="S39">
        <v>115</v>
      </c>
      <c r="T39">
        <v>106</v>
      </c>
      <c r="U39">
        <v>120</v>
      </c>
      <c r="V39" t="s">
        <v>97</v>
      </c>
      <c r="W39" t="s">
        <v>19</v>
      </c>
      <c r="X39" t="s">
        <v>59</v>
      </c>
      <c r="Y39" t="s">
        <v>39</v>
      </c>
    </row>
    <row r="40" spans="2:25" x14ac:dyDescent="0.2">
      <c r="B40" t="s">
        <v>151</v>
      </c>
      <c r="C40" t="str">
        <f t="shared" si="0"/>
        <v>7707_1</v>
      </c>
      <c r="D40">
        <v>7707</v>
      </c>
      <c r="E40">
        <v>1</v>
      </c>
      <c r="F40">
        <v>1</v>
      </c>
      <c r="G40" t="s">
        <v>59</v>
      </c>
      <c r="H40">
        <v>39</v>
      </c>
      <c r="I40">
        <v>79</v>
      </c>
      <c r="J40">
        <v>7707</v>
      </c>
      <c r="K40">
        <v>273</v>
      </c>
      <c r="L40">
        <v>1</v>
      </c>
      <c r="M40">
        <v>54</v>
      </c>
      <c r="N40" t="s">
        <v>100</v>
      </c>
      <c r="O40" t="s">
        <v>100</v>
      </c>
      <c r="P40">
        <v>114</v>
      </c>
      <c r="Q40">
        <v>137</v>
      </c>
      <c r="R40">
        <v>14</v>
      </c>
      <c r="S40">
        <v>113</v>
      </c>
      <c r="T40">
        <v>100</v>
      </c>
      <c r="U40">
        <v>123</v>
      </c>
      <c r="V40" t="s">
        <v>98</v>
      </c>
      <c r="W40" t="s">
        <v>19</v>
      </c>
      <c r="X40" t="s">
        <v>59</v>
      </c>
      <c r="Y40" t="s">
        <v>39</v>
      </c>
    </row>
    <row r="41" spans="2:25" x14ac:dyDescent="0.2">
      <c r="B41" t="s">
        <v>152</v>
      </c>
      <c r="C41" t="str">
        <f t="shared" si="0"/>
        <v>7710_1</v>
      </c>
      <c r="D41">
        <v>7710</v>
      </c>
      <c r="E41">
        <v>1</v>
      </c>
      <c r="F41">
        <v>1</v>
      </c>
      <c r="G41" t="s">
        <v>59</v>
      </c>
      <c r="H41">
        <v>40</v>
      </c>
      <c r="I41">
        <v>80</v>
      </c>
      <c r="J41">
        <v>7710</v>
      </c>
      <c r="K41">
        <v>296</v>
      </c>
      <c r="L41">
        <v>1</v>
      </c>
      <c r="M41">
        <v>54</v>
      </c>
      <c r="N41" t="s">
        <v>100</v>
      </c>
      <c r="O41" t="s">
        <v>100</v>
      </c>
      <c r="P41">
        <v>119</v>
      </c>
      <c r="Q41">
        <v>122</v>
      </c>
      <c r="R41">
        <v>13</v>
      </c>
      <c r="S41">
        <v>130</v>
      </c>
      <c r="T41">
        <v>126</v>
      </c>
      <c r="U41">
        <v>128</v>
      </c>
      <c r="V41" t="s">
        <v>99</v>
      </c>
      <c r="W41" t="s">
        <v>19</v>
      </c>
      <c r="X41" t="s">
        <v>59</v>
      </c>
      <c r="Y41" t="s">
        <v>39</v>
      </c>
    </row>
  </sheetData>
  <autoFilter ref="D1:T41" xr:uid="{2988AEE6-7307-EA46-ACA8-494C39FF3740}"/>
  <conditionalFormatting sqref="B2:B41">
    <cfRule type="duplicateValues" dxfId="18" priority="26"/>
  </conditionalFormatting>
  <conditionalFormatting sqref="P5:Q8">
    <cfRule type="containsBlanks" dxfId="17" priority="15">
      <formula>LEN(TRIM(P5))=0</formula>
    </cfRule>
  </conditionalFormatting>
  <conditionalFormatting sqref="P11:Q12">
    <cfRule type="containsBlanks" dxfId="16" priority="7">
      <formula>LEN(TRIM(P11))=0</formula>
    </cfRule>
  </conditionalFormatting>
  <conditionalFormatting sqref="P15:Q17">
    <cfRule type="containsBlanks" dxfId="15" priority="8">
      <formula>LEN(TRIM(P15))=0</formula>
    </cfRule>
  </conditionalFormatting>
  <conditionalFormatting sqref="P21:R21">
    <cfRule type="containsBlanks" dxfId="14" priority="6">
      <formula>LEN(TRIM(P21))=0</formula>
    </cfRule>
  </conditionalFormatting>
  <conditionalFormatting sqref="P25:R28">
    <cfRule type="containsBlanks" dxfId="13" priority="1">
      <formula>LEN(TRIM(P25))=0</formula>
    </cfRule>
  </conditionalFormatting>
  <conditionalFormatting sqref="P9:U10">
    <cfRule type="containsBlanks" dxfId="12" priority="13">
      <formula>LEN(TRIM(P9))=0</formula>
    </cfRule>
  </conditionalFormatting>
  <conditionalFormatting sqref="P13:U14">
    <cfRule type="containsBlanks" dxfId="11" priority="11">
      <formula>LEN(TRIM(P13))=0</formula>
    </cfRule>
  </conditionalFormatting>
  <conditionalFormatting sqref="R4:R5">
    <cfRule type="containsBlanks" dxfId="10" priority="21">
      <formula>LEN(TRIM(R4))=0</formula>
    </cfRule>
  </conditionalFormatting>
  <conditionalFormatting sqref="R20">
    <cfRule type="containsBlanks" dxfId="9" priority="5">
      <formula>LEN(TRIM(R20))=0</formula>
    </cfRule>
  </conditionalFormatting>
  <conditionalFormatting sqref="R22">
    <cfRule type="containsBlanks" dxfId="8" priority="4">
      <formula>LEN(TRIM(R22))=0</formula>
    </cfRule>
  </conditionalFormatting>
  <conditionalFormatting sqref="R7:U8">
    <cfRule type="containsBlanks" dxfId="7" priority="16">
      <formula>LEN(TRIM(R7))=0</formula>
    </cfRule>
  </conditionalFormatting>
  <conditionalFormatting sqref="S4:U4">
    <cfRule type="containsBlanks" dxfId="6" priority="22">
      <formula>LEN(TRIM(S4))=0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85DD-9643-7644-AF20-03E0635BA6A0}">
  <dimension ref="A1:AB40"/>
  <sheetViews>
    <sheetView topLeftCell="C1" zoomScale="113" zoomScaleNormal="113" workbookViewId="0">
      <pane xSplit="4" ySplit="1" topLeftCell="G23" activePane="bottomRight" state="frozen"/>
      <selection activeCell="C1" sqref="C1"/>
      <selection pane="topRight" activeCell="G1" sqref="G1"/>
      <selection pane="bottomLeft" activeCell="C2" sqref="C2"/>
      <selection pane="bottomRight" activeCell="C38" sqref="A38:XFD38"/>
    </sheetView>
  </sheetViews>
  <sheetFormatPr baseColWidth="10" defaultRowHeight="16" x14ac:dyDescent="0.2"/>
  <cols>
    <col min="1" max="2" width="0" hidden="1" customWidth="1"/>
    <col min="15" max="15" width="23" style="36"/>
    <col min="16" max="16" width="10.83203125" style="31"/>
    <col min="17" max="18" width="23" style="36"/>
  </cols>
  <sheetData>
    <row r="1" spans="1:28" ht="128" x14ac:dyDescent="0.2">
      <c r="C1" t="s">
        <v>0</v>
      </c>
      <c r="D1" t="s">
        <v>1</v>
      </c>
      <c r="E1" t="s">
        <v>2</v>
      </c>
      <c r="F1" t="s">
        <v>10</v>
      </c>
      <c r="G1" t="s">
        <v>3</v>
      </c>
      <c r="H1" t="s">
        <v>4</v>
      </c>
      <c r="I1" t="s">
        <v>5</v>
      </c>
      <c r="K1" t="s">
        <v>6</v>
      </c>
      <c r="L1" t="s">
        <v>7</v>
      </c>
      <c r="M1" t="s">
        <v>8</v>
      </c>
      <c r="N1" t="s">
        <v>12</v>
      </c>
      <c r="O1" s="33" t="s">
        <v>228</v>
      </c>
      <c r="P1" s="33" t="s">
        <v>227</v>
      </c>
      <c r="Q1" s="33" t="s">
        <v>222</v>
      </c>
      <c r="R1" s="33" t="s">
        <v>224</v>
      </c>
      <c r="S1" s="11" t="s">
        <v>201</v>
      </c>
      <c r="T1" s="11" t="s">
        <v>202</v>
      </c>
      <c r="U1" s="11" t="s">
        <v>198</v>
      </c>
      <c r="V1" s="11" t="s">
        <v>193</v>
      </c>
      <c r="W1" s="11" t="s">
        <v>194</v>
      </c>
      <c r="X1" s="11" t="s">
        <v>195</v>
      </c>
      <c r="Z1" t="s">
        <v>9</v>
      </c>
      <c r="AA1" t="s">
        <v>10</v>
      </c>
      <c r="AB1" t="s">
        <v>11</v>
      </c>
    </row>
    <row r="2" spans="1:28" x14ac:dyDescent="0.2">
      <c r="A2" t="s">
        <v>153</v>
      </c>
      <c r="B2" t="str">
        <f>CONCATENATE(C2,"_",D2)</f>
        <v>4017_4</v>
      </c>
      <c r="C2">
        <v>4017</v>
      </c>
      <c r="D2">
        <v>4</v>
      </c>
      <c r="E2">
        <v>1</v>
      </c>
      <c r="F2" t="s">
        <v>14</v>
      </c>
      <c r="G2">
        <v>1</v>
      </c>
      <c r="H2">
        <v>1</v>
      </c>
      <c r="I2">
        <v>4017</v>
      </c>
      <c r="K2">
        <v>722.5</v>
      </c>
      <c r="L2">
        <v>0.66666700000000001</v>
      </c>
      <c r="M2">
        <v>36</v>
      </c>
      <c r="N2">
        <v>16</v>
      </c>
      <c r="O2" s="33">
        <v>24</v>
      </c>
      <c r="P2" s="31">
        <v>15</v>
      </c>
      <c r="Q2" s="33">
        <v>8</v>
      </c>
      <c r="R2" s="33">
        <v>5</v>
      </c>
      <c r="S2">
        <v>105</v>
      </c>
      <c r="T2">
        <v>91</v>
      </c>
      <c r="U2" s="7">
        <v>12.115</v>
      </c>
      <c r="V2">
        <v>106</v>
      </c>
      <c r="W2">
        <v>103</v>
      </c>
      <c r="X2">
        <v>108</v>
      </c>
      <c r="Y2" t="s">
        <v>15</v>
      </c>
      <c r="Z2" t="s">
        <v>16</v>
      </c>
      <c r="AA2" t="s">
        <v>14</v>
      </c>
      <c r="AB2" t="s">
        <v>17</v>
      </c>
    </row>
    <row r="3" spans="1:28" x14ac:dyDescent="0.2">
      <c r="A3" t="s">
        <v>154</v>
      </c>
      <c r="B3" t="str">
        <f t="shared" ref="B3:B40" si="0">CONCATENATE(C3,"_",D3)</f>
        <v>4023_3</v>
      </c>
      <c r="C3">
        <v>4023</v>
      </c>
      <c r="D3">
        <v>3</v>
      </c>
      <c r="E3">
        <v>1</v>
      </c>
      <c r="F3" t="s">
        <v>14</v>
      </c>
      <c r="G3">
        <v>2</v>
      </c>
      <c r="H3">
        <v>2</v>
      </c>
      <c r="I3">
        <v>4023</v>
      </c>
      <c r="K3">
        <v>336</v>
      </c>
      <c r="L3">
        <v>1</v>
      </c>
      <c r="M3">
        <v>54</v>
      </c>
      <c r="N3">
        <v>11</v>
      </c>
      <c r="O3" s="33">
        <v>24</v>
      </c>
      <c r="P3" s="31">
        <v>19</v>
      </c>
      <c r="Q3" s="33">
        <v>10</v>
      </c>
      <c r="R3" s="33">
        <v>5</v>
      </c>
      <c r="S3">
        <v>103</v>
      </c>
      <c r="T3">
        <v>93</v>
      </c>
      <c r="U3">
        <v>14</v>
      </c>
      <c r="V3">
        <v>99</v>
      </c>
      <c r="W3">
        <v>98</v>
      </c>
      <c r="X3">
        <v>98</v>
      </c>
      <c r="Y3" t="s">
        <v>18</v>
      </c>
      <c r="Z3" t="s">
        <v>19</v>
      </c>
      <c r="AA3" t="s">
        <v>14</v>
      </c>
      <c r="AB3" t="s">
        <v>17</v>
      </c>
    </row>
    <row r="4" spans="1:28" x14ac:dyDescent="0.2">
      <c r="A4" t="s">
        <v>155</v>
      </c>
      <c r="B4" t="str">
        <f t="shared" si="0"/>
        <v>4058_2</v>
      </c>
      <c r="C4">
        <v>4058</v>
      </c>
      <c r="D4">
        <v>2</v>
      </c>
      <c r="E4">
        <v>1</v>
      </c>
      <c r="F4" t="s">
        <v>14</v>
      </c>
      <c r="G4">
        <v>3</v>
      </c>
      <c r="H4">
        <v>3</v>
      </c>
      <c r="I4">
        <v>4058</v>
      </c>
      <c r="K4">
        <v>238</v>
      </c>
      <c r="L4">
        <v>1</v>
      </c>
      <c r="M4">
        <v>54</v>
      </c>
      <c r="N4">
        <v>10</v>
      </c>
      <c r="O4" s="33">
        <v>24</v>
      </c>
      <c r="P4" s="31">
        <v>17</v>
      </c>
      <c r="Q4" s="33">
        <v>10</v>
      </c>
      <c r="R4" s="33">
        <v>3</v>
      </c>
      <c r="S4">
        <v>108</v>
      </c>
      <c r="T4">
        <v>46</v>
      </c>
      <c r="U4" s="7">
        <v>12.6927</v>
      </c>
      <c r="V4">
        <v>85</v>
      </c>
      <c r="W4">
        <v>87</v>
      </c>
      <c r="X4">
        <v>87</v>
      </c>
      <c r="Y4" t="s">
        <v>20</v>
      </c>
      <c r="Z4" t="s">
        <v>16</v>
      </c>
      <c r="AA4" t="s">
        <v>14</v>
      </c>
      <c r="AB4" t="s">
        <v>17</v>
      </c>
    </row>
    <row r="5" spans="1:28" x14ac:dyDescent="0.2">
      <c r="A5" t="s">
        <v>156</v>
      </c>
      <c r="B5" t="str">
        <f t="shared" si="0"/>
        <v>4062_3</v>
      </c>
      <c r="C5">
        <v>4062</v>
      </c>
      <c r="D5">
        <v>3</v>
      </c>
      <c r="E5">
        <v>1</v>
      </c>
      <c r="F5" t="s">
        <v>14</v>
      </c>
      <c r="G5">
        <v>4</v>
      </c>
      <c r="H5">
        <v>4</v>
      </c>
      <c r="I5">
        <v>4062</v>
      </c>
      <c r="K5">
        <v>254.5</v>
      </c>
      <c r="L5">
        <v>0.87037036999999995</v>
      </c>
      <c r="M5">
        <v>47</v>
      </c>
      <c r="N5">
        <v>10</v>
      </c>
      <c r="O5" s="33">
        <v>18</v>
      </c>
      <c r="P5" s="31">
        <v>16</v>
      </c>
      <c r="Q5" s="33">
        <v>8</v>
      </c>
      <c r="R5" s="33">
        <v>3</v>
      </c>
      <c r="S5">
        <v>91</v>
      </c>
      <c r="T5">
        <v>98</v>
      </c>
      <c r="U5">
        <v>14</v>
      </c>
      <c r="V5">
        <v>91</v>
      </c>
      <c r="W5">
        <v>98</v>
      </c>
      <c r="X5">
        <v>87</v>
      </c>
      <c r="Y5" t="s">
        <v>21</v>
      </c>
      <c r="Z5" t="s">
        <v>19</v>
      </c>
      <c r="AA5" t="s">
        <v>14</v>
      </c>
      <c r="AB5" t="s">
        <v>17</v>
      </c>
    </row>
    <row r="6" spans="1:28" x14ac:dyDescent="0.2">
      <c r="A6" t="s">
        <v>157</v>
      </c>
      <c r="B6" t="str">
        <f t="shared" si="0"/>
        <v>4074_2</v>
      </c>
      <c r="C6">
        <v>4074</v>
      </c>
      <c r="D6">
        <v>2</v>
      </c>
      <c r="E6">
        <v>1</v>
      </c>
      <c r="F6" t="s">
        <v>14</v>
      </c>
      <c r="G6">
        <v>5</v>
      </c>
      <c r="H6">
        <v>5</v>
      </c>
      <c r="I6">
        <v>4074</v>
      </c>
      <c r="K6">
        <v>386</v>
      </c>
      <c r="L6">
        <v>0.98148148000000002</v>
      </c>
      <c r="M6">
        <v>53</v>
      </c>
      <c r="N6">
        <v>10</v>
      </c>
      <c r="O6" s="33">
        <v>22</v>
      </c>
      <c r="P6" s="31">
        <v>19</v>
      </c>
      <c r="Q6" s="33">
        <v>4</v>
      </c>
      <c r="R6" s="33">
        <v>5</v>
      </c>
      <c r="S6">
        <v>119</v>
      </c>
      <c r="T6">
        <v>129</v>
      </c>
      <c r="U6">
        <v>16</v>
      </c>
      <c r="V6">
        <v>110</v>
      </c>
      <c r="W6">
        <v>99</v>
      </c>
      <c r="X6">
        <v>120</v>
      </c>
      <c r="Y6" t="s">
        <v>22</v>
      </c>
      <c r="Z6" t="s">
        <v>19</v>
      </c>
      <c r="AA6" t="s">
        <v>14</v>
      </c>
      <c r="AB6" t="s">
        <v>17</v>
      </c>
    </row>
    <row r="7" spans="1:28" x14ac:dyDescent="0.2">
      <c r="A7" t="s">
        <v>158</v>
      </c>
      <c r="B7" t="str">
        <f t="shared" si="0"/>
        <v>4076_2</v>
      </c>
      <c r="C7">
        <v>4076</v>
      </c>
      <c r="D7">
        <v>2</v>
      </c>
      <c r="E7">
        <v>1</v>
      </c>
      <c r="F7" t="s">
        <v>14</v>
      </c>
      <c r="G7">
        <v>6</v>
      </c>
      <c r="H7">
        <v>6</v>
      </c>
      <c r="I7">
        <v>4076</v>
      </c>
      <c r="K7">
        <v>300.5</v>
      </c>
      <c r="L7">
        <v>0.98148148000000002</v>
      </c>
      <c r="M7">
        <v>53</v>
      </c>
      <c r="N7">
        <v>10</v>
      </c>
      <c r="O7" s="33">
        <v>16</v>
      </c>
      <c r="P7" s="31">
        <v>7</v>
      </c>
      <c r="Q7" s="33">
        <v>2</v>
      </c>
      <c r="R7" s="33">
        <v>1</v>
      </c>
      <c r="S7">
        <v>121</v>
      </c>
      <c r="T7">
        <v>122</v>
      </c>
      <c r="U7">
        <v>13</v>
      </c>
      <c r="V7">
        <v>139</v>
      </c>
      <c r="W7">
        <v>121</v>
      </c>
      <c r="X7">
        <v>146</v>
      </c>
      <c r="Y7" t="s">
        <v>23</v>
      </c>
      <c r="Z7" t="s">
        <v>19</v>
      </c>
      <c r="AA7" t="s">
        <v>14</v>
      </c>
      <c r="AB7" t="s">
        <v>17</v>
      </c>
    </row>
    <row r="8" spans="1:28" x14ac:dyDescent="0.2">
      <c r="A8" t="s">
        <v>159</v>
      </c>
      <c r="B8" t="str">
        <f t="shared" si="0"/>
        <v>4079_3</v>
      </c>
      <c r="C8">
        <v>4079</v>
      </c>
      <c r="D8">
        <v>3</v>
      </c>
      <c r="E8">
        <v>1</v>
      </c>
      <c r="F8" t="s">
        <v>14</v>
      </c>
      <c r="G8">
        <v>7</v>
      </c>
      <c r="H8">
        <v>7</v>
      </c>
      <c r="I8">
        <v>4079</v>
      </c>
      <c r="K8">
        <v>352.5</v>
      </c>
      <c r="L8">
        <v>0.96296300000000001</v>
      </c>
      <c r="M8">
        <v>52</v>
      </c>
      <c r="N8">
        <v>8</v>
      </c>
      <c r="O8" s="33">
        <v>9</v>
      </c>
      <c r="P8" s="31">
        <v>10</v>
      </c>
      <c r="Q8" s="33">
        <v>7</v>
      </c>
      <c r="R8" s="33">
        <v>2</v>
      </c>
      <c r="S8">
        <v>96</v>
      </c>
      <c r="T8">
        <v>92</v>
      </c>
      <c r="U8">
        <v>12</v>
      </c>
      <c r="V8">
        <v>93</v>
      </c>
      <c r="W8">
        <v>99</v>
      </c>
      <c r="X8">
        <v>88</v>
      </c>
      <c r="Y8" t="s">
        <v>24</v>
      </c>
      <c r="Z8" t="s">
        <v>16</v>
      </c>
      <c r="AA8" t="s">
        <v>14</v>
      </c>
      <c r="AB8" t="s">
        <v>17</v>
      </c>
    </row>
    <row r="9" spans="1:28" x14ac:dyDescent="0.2">
      <c r="A9" s="1" t="s">
        <v>160</v>
      </c>
      <c r="B9" t="str">
        <f t="shared" si="0"/>
        <v>7176_2</v>
      </c>
      <c r="C9">
        <v>7176</v>
      </c>
      <c r="D9">
        <v>2</v>
      </c>
      <c r="E9">
        <v>1</v>
      </c>
      <c r="F9" t="s">
        <v>14</v>
      </c>
      <c r="G9">
        <v>8</v>
      </c>
      <c r="H9">
        <v>8</v>
      </c>
      <c r="I9">
        <v>7176</v>
      </c>
      <c r="K9">
        <v>254.5</v>
      </c>
      <c r="L9">
        <v>0.96296300000000001</v>
      </c>
      <c r="M9">
        <v>52</v>
      </c>
      <c r="N9">
        <v>9</v>
      </c>
      <c r="O9" s="33">
        <v>17</v>
      </c>
      <c r="P9" s="31">
        <v>11</v>
      </c>
      <c r="Q9" s="33">
        <v>5</v>
      </c>
      <c r="R9" s="33">
        <v>1</v>
      </c>
      <c r="S9">
        <v>129</v>
      </c>
      <c r="T9">
        <v>119</v>
      </c>
      <c r="U9" s="7">
        <v>10.0794</v>
      </c>
      <c r="V9">
        <v>150</v>
      </c>
      <c r="W9">
        <v>145</v>
      </c>
      <c r="X9">
        <v>142</v>
      </c>
      <c r="Y9" t="s">
        <v>25</v>
      </c>
      <c r="Z9" t="s">
        <v>16</v>
      </c>
      <c r="AA9" t="s">
        <v>14</v>
      </c>
      <c r="AB9" t="s">
        <v>17</v>
      </c>
    </row>
    <row r="10" spans="1:28" x14ac:dyDescent="0.2">
      <c r="A10" s="1" t="s">
        <v>161</v>
      </c>
      <c r="B10" t="str">
        <f t="shared" si="0"/>
        <v>7253_2</v>
      </c>
      <c r="C10">
        <v>7253</v>
      </c>
      <c r="D10">
        <v>2</v>
      </c>
      <c r="E10">
        <v>1</v>
      </c>
      <c r="F10" t="s">
        <v>14</v>
      </c>
      <c r="G10">
        <v>9</v>
      </c>
      <c r="H10">
        <v>9</v>
      </c>
      <c r="I10">
        <v>7253</v>
      </c>
      <c r="K10">
        <v>197.5</v>
      </c>
      <c r="L10">
        <v>1</v>
      </c>
      <c r="M10">
        <v>54</v>
      </c>
      <c r="N10">
        <v>8</v>
      </c>
      <c r="O10" s="33">
        <v>22</v>
      </c>
      <c r="P10" s="31">
        <v>21</v>
      </c>
      <c r="Q10" s="33">
        <v>6</v>
      </c>
      <c r="R10" s="33">
        <v>2</v>
      </c>
      <c r="S10">
        <v>109</v>
      </c>
      <c r="T10">
        <v>113</v>
      </c>
      <c r="U10" s="7">
        <v>12.9938</v>
      </c>
      <c r="V10">
        <v>114</v>
      </c>
      <c r="W10">
        <v>119</v>
      </c>
      <c r="X10">
        <v>106</v>
      </c>
      <c r="Y10" t="s">
        <v>26</v>
      </c>
      <c r="Z10" t="s">
        <v>16</v>
      </c>
      <c r="AA10" t="s">
        <v>14</v>
      </c>
      <c r="AB10" t="s">
        <v>17</v>
      </c>
    </row>
    <row r="11" spans="1:28" x14ac:dyDescent="0.2">
      <c r="A11" s="1" t="s">
        <v>162</v>
      </c>
      <c r="B11" t="str">
        <f t="shared" si="0"/>
        <v>7266_2</v>
      </c>
      <c r="C11">
        <v>7266</v>
      </c>
      <c r="D11">
        <v>2</v>
      </c>
      <c r="E11">
        <v>1</v>
      </c>
      <c r="F11" t="s">
        <v>14</v>
      </c>
      <c r="G11">
        <v>10</v>
      </c>
      <c r="H11">
        <v>10</v>
      </c>
      <c r="I11">
        <v>7266</v>
      </c>
      <c r="K11">
        <v>156.5</v>
      </c>
      <c r="L11">
        <v>1</v>
      </c>
      <c r="M11">
        <v>54</v>
      </c>
      <c r="N11">
        <v>11</v>
      </c>
      <c r="O11" s="33">
        <v>16</v>
      </c>
      <c r="P11" s="31">
        <v>14</v>
      </c>
      <c r="Q11" s="33">
        <v>3</v>
      </c>
      <c r="R11" s="33">
        <v>2</v>
      </c>
      <c r="S11">
        <v>117</v>
      </c>
      <c r="T11">
        <v>122</v>
      </c>
      <c r="U11" s="7">
        <v>10.9938</v>
      </c>
      <c r="V11">
        <v>113</v>
      </c>
      <c r="W11">
        <v>104</v>
      </c>
      <c r="X11">
        <v>119</v>
      </c>
      <c r="Y11" t="s">
        <v>27</v>
      </c>
      <c r="Z11" t="s">
        <v>16</v>
      </c>
      <c r="AA11" t="s">
        <v>14</v>
      </c>
      <c r="AB11" t="s">
        <v>17</v>
      </c>
    </row>
    <row r="12" spans="1:28" x14ac:dyDescent="0.2">
      <c r="A12" s="1" t="s">
        <v>163</v>
      </c>
      <c r="B12" t="str">
        <f t="shared" si="0"/>
        <v>7307_3</v>
      </c>
      <c r="C12">
        <v>7307</v>
      </c>
      <c r="D12">
        <v>3</v>
      </c>
      <c r="E12">
        <v>1</v>
      </c>
      <c r="F12" t="s">
        <v>14</v>
      </c>
      <c r="G12">
        <v>11</v>
      </c>
      <c r="H12">
        <v>11</v>
      </c>
      <c r="I12">
        <v>7307</v>
      </c>
      <c r="K12">
        <v>285</v>
      </c>
      <c r="L12">
        <v>1</v>
      </c>
      <c r="M12">
        <v>54</v>
      </c>
      <c r="N12">
        <v>10</v>
      </c>
      <c r="O12" s="33">
        <v>19</v>
      </c>
      <c r="P12" s="31">
        <v>16</v>
      </c>
      <c r="Q12" s="33">
        <v>5</v>
      </c>
      <c r="R12" s="33">
        <v>4</v>
      </c>
      <c r="S12">
        <v>120</v>
      </c>
      <c r="T12">
        <v>121</v>
      </c>
      <c r="U12" s="7">
        <v>9.4763999999999999</v>
      </c>
      <c r="V12">
        <v>123</v>
      </c>
      <c r="W12">
        <v>129</v>
      </c>
      <c r="X12">
        <v>111</v>
      </c>
      <c r="Y12" t="s">
        <v>28</v>
      </c>
      <c r="Z12" t="s">
        <v>16</v>
      </c>
      <c r="AA12" t="s">
        <v>14</v>
      </c>
      <c r="AB12" t="s">
        <v>17</v>
      </c>
    </row>
    <row r="13" spans="1:28" x14ac:dyDescent="0.2">
      <c r="A13" s="1" t="s">
        <v>164</v>
      </c>
      <c r="B13" t="str">
        <f t="shared" si="0"/>
        <v>7309_2</v>
      </c>
      <c r="C13">
        <v>7309</v>
      </c>
      <c r="D13">
        <v>2</v>
      </c>
      <c r="E13">
        <v>1</v>
      </c>
      <c r="F13" t="s">
        <v>14</v>
      </c>
      <c r="G13">
        <v>12</v>
      </c>
      <c r="H13">
        <v>12</v>
      </c>
      <c r="I13">
        <v>7309</v>
      </c>
      <c r="K13">
        <v>266</v>
      </c>
      <c r="L13">
        <v>0.64814799999999995</v>
      </c>
      <c r="M13">
        <v>35</v>
      </c>
      <c r="N13">
        <v>11</v>
      </c>
      <c r="O13" s="33">
        <v>26</v>
      </c>
      <c r="P13" s="31">
        <v>23</v>
      </c>
      <c r="Q13" s="33">
        <v>11</v>
      </c>
      <c r="R13" s="33">
        <v>3</v>
      </c>
      <c r="S13">
        <v>88</v>
      </c>
      <c r="T13">
        <v>91</v>
      </c>
      <c r="U13" s="7">
        <v>8.8158999999999992</v>
      </c>
      <c r="V13">
        <v>85</v>
      </c>
      <c r="W13">
        <v>86</v>
      </c>
      <c r="X13">
        <v>87</v>
      </c>
      <c r="Y13" t="s">
        <v>29</v>
      </c>
      <c r="Z13" t="s">
        <v>16</v>
      </c>
      <c r="AA13" t="s">
        <v>14</v>
      </c>
      <c r="AB13" t="s">
        <v>17</v>
      </c>
    </row>
    <row r="14" spans="1:28" x14ac:dyDescent="0.2">
      <c r="A14" s="3" t="s">
        <v>165</v>
      </c>
      <c r="B14" t="str">
        <f t="shared" si="0"/>
        <v>7341_1</v>
      </c>
      <c r="C14">
        <v>7341</v>
      </c>
      <c r="D14">
        <v>1</v>
      </c>
      <c r="E14">
        <v>1</v>
      </c>
      <c r="F14" t="s">
        <v>14</v>
      </c>
      <c r="G14">
        <v>13</v>
      </c>
      <c r="H14">
        <v>13</v>
      </c>
      <c r="I14">
        <v>7341</v>
      </c>
      <c r="K14">
        <v>340</v>
      </c>
      <c r="L14">
        <v>0.40740700000000002</v>
      </c>
      <c r="M14">
        <v>22</v>
      </c>
      <c r="N14">
        <v>7</v>
      </c>
      <c r="O14" s="33">
        <v>17</v>
      </c>
      <c r="P14" s="31">
        <v>22</v>
      </c>
      <c r="Q14" s="33">
        <v>10</v>
      </c>
      <c r="R14" s="33">
        <v>5</v>
      </c>
      <c r="S14" s="6">
        <v>100</v>
      </c>
      <c r="T14" s="6">
        <v>123</v>
      </c>
      <c r="U14">
        <v>8</v>
      </c>
      <c r="V14">
        <v>118</v>
      </c>
      <c r="W14">
        <v>119</v>
      </c>
      <c r="X14">
        <v>113</v>
      </c>
      <c r="Y14" t="s">
        <v>30</v>
      </c>
      <c r="Z14" t="s">
        <v>16</v>
      </c>
      <c r="AA14" t="s">
        <v>14</v>
      </c>
      <c r="AB14" t="s">
        <v>17</v>
      </c>
    </row>
    <row r="15" spans="1:28" x14ac:dyDescent="0.2">
      <c r="A15" s="3" t="s">
        <v>166</v>
      </c>
      <c r="B15" t="str">
        <f t="shared" si="0"/>
        <v>7357_1</v>
      </c>
      <c r="C15">
        <v>7357</v>
      </c>
      <c r="D15">
        <v>1</v>
      </c>
      <c r="E15">
        <v>1</v>
      </c>
      <c r="F15" t="s">
        <v>14</v>
      </c>
      <c r="G15">
        <v>14</v>
      </c>
      <c r="H15">
        <v>14</v>
      </c>
      <c r="I15">
        <v>7357</v>
      </c>
      <c r="K15">
        <v>722</v>
      </c>
      <c r="L15">
        <v>0.33333299999999999</v>
      </c>
      <c r="M15">
        <v>18</v>
      </c>
      <c r="N15">
        <v>7</v>
      </c>
      <c r="O15" s="33">
        <v>4</v>
      </c>
      <c r="P15" s="31">
        <v>5</v>
      </c>
      <c r="Q15" s="33">
        <v>5</v>
      </c>
      <c r="R15" s="33">
        <v>1</v>
      </c>
      <c r="S15">
        <v>98</v>
      </c>
      <c r="T15">
        <v>95</v>
      </c>
      <c r="U15">
        <v>8</v>
      </c>
      <c r="V15">
        <v>95</v>
      </c>
      <c r="W15">
        <v>95</v>
      </c>
      <c r="X15">
        <v>95</v>
      </c>
      <c r="Y15" t="s">
        <v>31</v>
      </c>
      <c r="Z15" t="s">
        <v>16</v>
      </c>
      <c r="AA15" t="s">
        <v>14</v>
      </c>
      <c r="AB15" t="s">
        <v>17</v>
      </c>
    </row>
    <row r="16" spans="1:28" x14ac:dyDescent="0.2">
      <c r="A16" s="3" t="s">
        <v>167</v>
      </c>
      <c r="B16" t="str">
        <f t="shared" si="0"/>
        <v>7429_1</v>
      </c>
      <c r="C16">
        <v>7429</v>
      </c>
      <c r="D16">
        <v>1</v>
      </c>
      <c r="E16">
        <v>1</v>
      </c>
      <c r="F16" t="s">
        <v>14</v>
      </c>
      <c r="G16">
        <v>15</v>
      </c>
      <c r="H16">
        <v>15</v>
      </c>
      <c r="I16">
        <v>7429</v>
      </c>
      <c r="K16">
        <v>431</v>
      </c>
      <c r="L16">
        <v>0.98148100000000005</v>
      </c>
      <c r="M16">
        <v>53</v>
      </c>
      <c r="N16">
        <v>11</v>
      </c>
      <c r="O16" s="33">
        <v>21</v>
      </c>
      <c r="P16" s="31">
        <v>11</v>
      </c>
      <c r="Q16" s="33">
        <v>6</v>
      </c>
      <c r="R16" s="33">
        <v>1</v>
      </c>
      <c r="S16">
        <v>131</v>
      </c>
      <c r="T16">
        <v>116</v>
      </c>
      <c r="U16">
        <v>9</v>
      </c>
      <c r="V16">
        <v>127</v>
      </c>
      <c r="W16">
        <v>109</v>
      </c>
      <c r="X16">
        <v>140</v>
      </c>
      <c r="Y16" t="s">
        <v>32</v>
      </c>
      <c r="Z16" t="s">
        <v>16</v>
      </c>
      <c r="AA16" t="s">
        <v>14</v>
      </c>
      <c r="AB16" t="s">
        <v>17</v>
      </c>
    </row>
    <row r="17" spans="1:28" s="26" customFormat="1" x14ac:dyDescent="0.2">
      <c r="A17" s="30" t="s">
        <v>168</v>
      </c>
      <c r="B17" s="26" t="str">
        <f t="shared" si="0"/>
        <v>7442_1</v>
      </c>
      <c r="C17" s="26">
        <v>7442</v>
      </c>
      <c r="D17" s="26">
        <v>1</v>
      </c>
      <c r="E17" s="26">
        <v>1</v>
      </c>
      <c r="F17" s="26" t="s">
        <v>14</v>
      </c>
      <c r="G17" s="26">
        <v>16</v>
      </c>
      <c r="H17" s="26">
        <v>16</v>
      </c>
      <c r="I17" s="26">
        <v>7442</v>
      </c>
      <c r="K17" s="26">
        <v>503</v>
      </c>
      <c r="L17" s="26">
        <v>0.98148100000000005</v>
      </c>
      <c r="M17" s="26">
        <v>53</v>
      </c>
      <c r="N17" s="26">
        <v>7</v>
      </c>
      <c r="O17" s="34">
        <v>22</v>
      </c>
      <c r="P17" s="32">
        <v>11</v>
      </c>
      <c r="Q17" s="34">
        <v>10</v>
      </c>
      <c r="R17" s="34">
        <v>3</v>
      </c>
      <c r="S17" s="26">
        <v>125</v>
      </c>
      <c r="T17" s="26">
        <v>121</v>
      </c>
      <c r="U17" s="26">
        <v>7</v>
      </c>
      <c r="V17" s="26">
        <v>136</v>
      </c>
      <c r="W17" s="26">
        <v>127</v>
      </c>
      <c r="X17" s="26">
        <v>136</v>
      </c>
      <c r="Y17" s="26" t="s">
        <v>33</v>
      </c>
      <c r="Z17" s="26" t="s">
        <v>16</v>
      </c>
      <c r="AA17" s="26" t="s">
        <v>14</v>
      </c>
      <c r="AB17" s="26" t="s">
        <v>17</v>
      </c>
    </row>
    <row r="18" spans="1:28" x14ac:dyDescent="0.2">
      <c r="A18" s="3" t="s">
        <v>169</v>
      </c>
      <c r="B18" t="str">
        <f t="shared" si="0"/>
        <v>7464_1</v>
      </c>
      <c r="C18">
        <v>7464</v>
      </c>
      <c r="D18">
        <v>1</v>
      </c>
      <c r="E18">
        <v>1</v>
      </c>
      <c r="F18" t="s">
        <v>14</v>
      </c>
      <c r="G18">
        <v>17</v>
      </c>
      <c r="H18">
        <v>17</v>
      </c>
      <c r="I18">
        <v>7464</v>
      </c>
      <c r="K18">
        <v>901</v>
      </c>
      <c r="L18">
        <v>0.62963000000000002</v>
      </c>
      <c r="M18">
        <v>34</v>
      </c>
      <c r="N18">
        <v>9</v>
      </c>
      <c r="O18" s="33">
        <v>9</v>
      </c>
      <c r="P18" s="31">
        <v>1</v>
      </c>
      <c r="Q18" s="33">
        <v>4</v>
      </c>
      <c r="R18" s="33">
        <v>5</v>
      </c>
      <c r="S18">
        <v>115</v>
      </c>
      <c r="T18">
        <v>123</v>
      </c>
      <c r="U18">
        <v>9</v>
      </c>
      <c r="V18">
        <v>109</v>
      </c>
      <c r="W18">
        <v>109</v>
      </c>
      <c r="X18">
        <v>107</v>
      </c>
      <c r="Y18" t="s">
        <v>34</v>
      </c>
      <c r="Z18" t="s">
        <v>16</v>
      </c>
      <c r="AA18" t="s">
        <v>14</v>
      </c>
      <c r="AB18" t="s">
        <v>17</v>
      </c>
    </row>
    <row r="19" spans="1:28" x14ac:dyDescent="0.2">
      <c r="A19" s="3" t="s">
        <v>170</v>
      </c>
      <c r="B19" t="str">
        <f t="shared" si="0"/>
        <v>7466_1</v>
      </c>
      <c r="C19">
        <v>7466</v>
      </c>
      <c r="D19">
        <v>1</v>
      </c>
      <c r="E19">
        <v>1</v>
      </c>
      <c r="F19" t="s">
        <v>14</v>
      </c>
      <c r="G19">
        <v>18</v>
      </c>
      <c r="H19">
        <v>18</v>
      </c>
      <c r="I19">
        <v>7466</v>
      </c>
      <c r="K19">
        <v>358</v>
      </c>
      <c r="L19">
        <v>0.98148100000000005</v>
      </c>
      <c r="M19">
        <v>53</v>
      </c>
      <c r="N19">
        <v>10</v>
      </c>
      <c r="O19" s="33">
        <v>8</v>
      </c>
      <c r="P19" s="31">
        <v>7</v>
      </c>
      <c r="Q19" s="33">
        <v>7</v>
      </c>
      <c r="R19" s="33">
        <v>1</v>
      </c>
      <c r="S19">
        <v>113</v>
      </c>
      <c r="T19">
        <v>112</v>
      </c>
      <c r="U19">
        <v>10</v>
      </c>
      <c r="V19">
        <v>111</v>
      </c>
      <c r="W19">
        <v>101</v>
      </c>
      <c r="X19">
        <v>119</v>
      </c>
      <c r="Y19" t="s">
        <v>35</v>
      </c>
      <c r="Z19" t="s">
        <v>16</v>
      </c>
      <c r="AA19" t="s">
        <v>14</v>
      </c>
      <c r="AB19" t="s">
        <v>17</v>
      </c>
    </row>
    <row r="20" spans="1:28" s="26" customFormat="1" x14ac:dyDescent="0.2">
      <c r="A20" s="30" t="s">
        <v>171</v>
      </c>
      <c r="B20" s="26" t="str">
        <f t="shared" si="0"/>
        <v>7477_1</v>
      </c>
      <c r="C20" s="26">
        <v>7477</v>
      </c>
      <c r="D20" s="26">
        <v>1</v>
      </c>
      <c r="E20" s="26">
        <v>1</v>
      </c>
      <c r="F20" s="26" t="s">
        <v>14</v>
      </c>
      <c r="G20" s="26">
        <v>19</v>
      </c>
      <c r="H20" s="26">
        <v>19</v>
      </c>
      <c r="I20" s="26">
        <v>7477</v>
      </c>
      <c r="K20" s="26">
        <v>382</v>
      </c>
      <c r="L20" s="26">
        <v>1</v>
      </c>
      <c r="M20" s="26">
        <v>54</v>
      </c>
      <c r="N20" s="26">
        <v>6</v>
      </c>
      <c r="O20" s="33">
        <v>10</v>
      </c>
      <c r="P20" s="32">
        <v>5</v>
      </c>
      <c r="Q20" s="33">
        <v>3</v>
      </c>
      <c r="R20" s="33">
        <v>1</v>
      </c>
      <c r="S20" s="26">
        <v>135</v>
      </c>
      <c r="T20" s="26">
        <v>118</v>
      </c>
      <c r="U20" s="26">
        <v>10</v>
      </c>
      <c r="V20" s="26">
        <v>125</v>
      </c>
      <c r="W20" s="26">
        <v>108</v>
      </c>
      <c r="X20" s="26">
        <v>136</v>
      </c>
      <c r="Y20" s="26" t="s">
        <v>36</v>
      </c>
      <c r="Z20" s="26" t="s">
        <v>16</v>
      </c>
      <c r="AA20" s="26" t="s">
        <v>14</v>
      </c>
      <c r="AB20" s="26" t="s">
        <v>17</v>
      </c>
    </row>
    <row r="21" spans="1:28" x14ac:dyDescent="0.2">
      <c r="A21" s="3" t="s">
        <v>172</v>
      </c>
      <c r="B21" t="str">
        <f t="shared" si="0"/>
        <v>7491_1</v>
      </c>
      <c r="C21">
        <v>7491</v>
      </c>
      <c r="D21">
        <v>1</v>
      </c>
      <c r="E21">
        <v>1</v>
      </c>
      <c r="F21" t="s">
        <v>14</v>
      </c>
      <c r="G21">
        <v>20</v>
      </c>
      <c r="H21">
        <v>20</v>
      </c>
      <c r="I21">
        <v>7491</v>
      </c>
      <c r="K21">
        <v>232.5</v>
      </c>
      <c r="L21">
        <v>0.98148100000000005</v>
      </c>
      <c r="M21">
        <v>53</v>
      </c>
      <c r="N21">
        <v>8</v>
      </c>
      <c r="O21" s="33">
        <v>9</v>
      </c>
      <c r="P21" s="31">
        <v>10</v>
      </c>
      <c r="Q21" s="33">
        <v>4</v>
      </c>
      <c r="R21" s="33">
        <v>5</v>
      </c>
      <c r="S21">
        <v>103</v>
      </c>
      <c r="T21">
        <v>104</v>
      </c>
      <c r="U21">
        <v>12</v>
      </c>
      <c r="V21">
        <v>99</v>
      </c>
      <c r="W21">
        <v>104</v>
      </c>
      <c r="X21">
        <v>93</v>
      </c>
      <c r="Y21" t="s">
        <v>37</v>
      </c>
      <c r="Z21" t="s">
        <v>38</v>
      </c>
      <c r="AA21" t="s">
        <v>14</v>
      </c>
      <c r="AB21" t="s">
        <v>39</v>
      </c>
    </row>
    <row r="22" spans="1:28" x14ac:dyDescent="0.2">
      <c r="A22" s="3" t="s">
        <v>173</v>
      </c>
      <c r="B22" t="str">
        <f t="shared" si="0"/>
        <v>7507_1</v>
      </c>
      <c r="C22">
        <v>7507</v>
      </c>
      <c r="D22">
        <v>1</v>
      </c>
      <c r="E22">
        <v>1</v>
      </c>
      <c r="F22" t="s">
        <v>14</v>
      </c>
      <c r="G22">
        <v>21</v>
      </c>
      <c r="H22">
        <v>21</v>
      </c>
      <c r="I22">
        <v>7507</v>
      </c>
      <c r="K22">
        <v>527</v>
      </c>
      <c r="L22">
        <v>0.98148100000000005</v>
      </c>
      <c r="M22">
        <v>53</v>
      </c>
      <c r="N22">
        <v>9</v>
      </c>
      <c r="O22" s="33">
        <v>25</v>
      </c>
      <c r="P22" s="31">
        <v>18</v>
      </c>
      <c r="Q22" s="33">
        <v>6</v>
      </c>
      <c r="R22" s="33">
        <v>2</v>
      </c>
      <c r="S22">
        <v>104</v>
      </c>
      <c r="T22">
        <v>106</v>
      </c>
      <c r="U22">
        <v>11</v>
      </c>
      <c r="V22">
        <v>110</v>
      </c>
      <c r="W22">
        <v>107</v>
      </c>
      <c r="X22">
        <v>110</v>
      </c>
      <c r="Y22" t="s">
        <v>40</v>
      </c>
      <c r="Z22" t="s">
        <v>16</v>
      </c>
      <c r="AA22" t="s">
        <v>14</v>
      </c>
      <c r="AB22" t="s">
        <v>17</v>
      </c>
    </row>
    <row r="23" spans="1:28" x14ac:dyDescent="0.2">
      <c r="A23" s="3" t="s">
        <v>174</v>
      </c>
      <c r="B23" t="str">
        <f t="shared" si="0"/>
        <v>7521_1</v>
      </c>
      <c r="C23">
        <v>7521</v>
      </c>
      <c r="D23">
        <v>1</v>
      </c>
      <c r="E23">
        <v>1</v>
      </c>
      <c r="F23" t="s">
        <v>14</v>
      </c>
      <c r="G23">
        <v>22</v>
      </c>
      <c r="H23">
        <v>22</v>
      </c>
      <c r="I23">
        <v>7521</v>
      </c>
      <c r="K23">
        <v>607.5</v>
      </c>
      <c r="L23">
        <v>0.92592600000000003</v>
      </c>
      <c r="M23">
        <v>50</v>
      </c>
      <c r="N23">
        <v>8</v>
      </c>
      <c r="O23" s="33">
        <v>27</v>
      </c>
      <c r="P23" s="31">
        <v>20</v>
      </c>
      <c r="Q23" s="33">
        <v>6</v>
      </c>
      <c r="R23" s="33">
        <v>1</v>
      </c>
      <c r="S23">
        <v>103</v>
      </c>
      <c r="T23">
        <v>114</v>
      </c>
      <c r="U23">
        <v>12</v>
      </c>
      <c r="V23">
        <v>123</v>
      </c>
      <c r="W23">
        <v>134</v>
      </c>
      <c r="X23">
        <v>108</v>
      </c>
      <c r="Y23" t="s">
        <v>41</v>
      </c>
      <c r="Z23" t="s">
        <v>16</v>
      </c>
      <c r="AA23" t="s">
        <v>14</v>
      </c>
      <c r="AB23" t="s">
        <v>17</v>
      </c>
    </row>
    <row r="24" spans="1:28" x14ac:dyDescent="0.2">
      <c r="A24" s="3" t="s">
        <v>175</v>
      </c>
      <c r="B24" t="str">
        <f t="shared" si="0"/>
        <v>7526_1</v>
      </c>
      <c r="C24">
        <v>7526</v>
      </c>
      <c r="D24">
        <v>1</v>
      </c>
      <c r="E24">
        <v>1</v>
      </c>
      <c r="F24" t="s">
        <v>14</v>
      </c>
      <c r="G24">
        <v>23</v>
      </c>
      <c r="H24">
        <v>23</v>
      </c>
      <c r="I24">
        <v>7526</v>
      </c>
      <c r="K24">
        <v>461</v>
      </c>
      <c r="L24">
        <v>0.96296300000000001</v>
      </c>
      <c r="M24">
        <v>52</v>
      </c>
      <c r="N24">
        <v>10</v>
      </c>
      <c r="O24" s="33">
        <v>15</v>
      </c>
      <c r="P24" s="31">
        <v>8</v>
      </c>
      <c r="Q24" s="33">
        <v>7</v>
      </c>
      <c r="R24" s="33">
        <v>3</v>
      </c>
      <c r="S24">
        <v>122</v>
      </c>
      <c r="T24">
        <v>97</v>
      </c>
      <c r="U24">
        <v>9</v>
      </c>
      <c r="V24">
        <v>110</v>
      </c>
      <c r="W24">
        <v>100</v>
      </c>
      <c r="X24">
        <v>119</v>
      </c>
      <c r="Y24" t="s">
        <v>42</v>
      </c>
      <c r="Z24" t="s">
        <v>16</v>
      </c>
      <c r="AA24" t="s">
        <v>14</v>
      </c>
      <c r="AB24" t="s">
        <v>17</v>
      </c>
    </row>
    <row r="25" spans="1:28" x14ac:dyDescent="0.2">
      <c r="A25" s="3" t="s">
        <v>176</v>
      </c>
      <c r="B25" t="str">
        <f t="shared" si="0"/>
        <v>7527_1</v>
      </c>
      <c r="C25">
        <v>7527</v>
      </c>
      <c r="D25">
        <v>1</v>
      </c>
      <c r="E25">
        <v>1</v>
      </c>
      <c r="F25" t="s">
        <v>14</v>
      </c>
      <c r="G25">
        <v>24</v>
      </c>
      <c r="H25">
        <v>24</v>
      </c>
      <c r="I25">
        <v>7527</v>
      </c>
      <c r="K25">
        <v>404</v>
      </c>
      <c r="L25">
        <v>1</v>
      </c>
      <c r="M25">
        <v>54</v>
      </c>
      <c r="N25">
        <v>10</v>
      </c>
      <c r="O25" s="33">
        <v>17</v>
      </c>
      <c r="P25" s="31">
        <v>12</v>
      </c>
      <c r="Q25" s="33">
        <v>6</v>
      </c>
      <c r="R25" s="33">
        <v>2</v>
      </c>
      <c r="S25" s="9">
        <v>116</v>
      </c>
      <c r="T25" s="9">
        <v>99</v>
      </c>
      <c r="U25">
        <v>11</v>
      </c>
      <c r="V25">
        <v>118</v>
      </c>
      <c r="W25">
        <v>123</v>
      </c>
      <c r="X25">
        <v>110</v>
      </c>
      <c r="Y25" t="s">
        <v>43</v>
      </c>
      <c r="Z25" t="s">
        <v>16</v>
      </c>
      <c r="AA25" t="s">
        <v>14</v>
      </c>
      <c r="AB25" t="s">
        <v>17</v>
      </c>
    </row>
    <row r="26" spans="1:28" x14ac:dyDescent="0.2">
      <c r="A26" s="3" t="s">
        <v>177</v>
      </c>
      <c r="B26" t="str">
        <f t="shared" si="0"/>
        <v>7582_1</v>
      </c>
      <c r="C26">
        <v>7582</v>
      </c>
      <c r="D26">
        <v>1</v>
      </c>
      <c r="E26">
        <v>1</v>
      </c>
      <c r="F26" t="s">
        <v>14</v>
      </c>
      <c r="G26">
        <v>25</v>
      </c>
      <c r="H26">
        <v>25</v>
      </c>
      <c r="I26">
        <v>7582</v>
      </c>
      <c r="K26">
        <v>330.5</v>
      </c>
      <c r="L26">
        <v>0.66666700000000001</v>
      </c>
      <c r="M26">
        <v>36</v>
      </c>
      <c r="N26">
        <v>10</v>
      </c>
      <c r="O26" s="33">
        <v>17</v>
      </c>
      <c r="P26" s="31">
        <v>11</v>
      </c>
      <c r="Q26" s="33">
        <v>6</v>
      </c>
      <c r="R26" s="33">
        <v>4</v>
      </c>
      <c r="S26" s="12">
        <v>100</v>
      </c>
      <c r="T26">
        <v>97</v>
      </c>
      <c r="U26">
        <v>11</v>
      </c>
      <c r="V26">
        <v>113</v>
      </c>
      <c r="W26">
        <v>119</v>
      </c>
      <c r="X26">
        <v>105</v>
      </c>
      <c r="Y26" t="s">
        <v>44</v>
      </c>
      <c r="Z26" t="s">
        <v>16</v>
      </c>
      <c r="AA26" t="s">
        <v>14</v>
      </c>
      <c r="AB26" t="s">
        <v>39</v>
      </c>
    </row>
    <row r="27" spans="1:28" x14ac:dyDescent="0.2">
      <c r="A27" s="3" t="s">
        <v>178</v>
      </c>
      <c r="B27" t="str">
        <f t="shared" si="0"/>
        <v>7598_1</v>
      </c>
      <c r="C27">
        <v>7598</v>
      </c>
      <c r="D27">
        <v>1</v>
      </c>
      <c r="E27">
        <v>1</v>
      </c>
      <c r="F27" t="s">
        <v>14</v>
      </c>
      <c r="G27">
        <v>26</v>
      </c>
      <c r="H27">
        <v>26</v>
      </c>
      <c r="I27">
        <v>7598</v>
      </c>
      <c r="K27">
        <v>316</v>
      </c>
      <c r="L27">
        <v>1</v>
      </c>
      <c r="M27">
        <v>54</v>
      </c>
      <c r="N27">
        <v>14</v>
      </c>
      <c r="O27" s="33">
        <v>24</v>
      </c>
      <c r="P27" s="31">
        <v>15</v>
      </c>
      <c r="Q27" s="33">
        <v>3</v>
      </c>
      <c r="R27" s="33">
        <v>3</v>
      </c>
      <c r="S27">
        <v>110</v>
      </c>
      <c r="T27">
        <v>92</v>
      </c>
      <c r="U27">
        <v>10</v>
      </c>
      <c r="V27">
        <v>105</v>
      </c>
      <c r="W27">
        <v>101</v>
      </c>
      <c r="X27">
        <v>107</v>
      </c>
      <c r="Y27" t="s">
        <v>45</v>
      </c>
      <c r="Z27" t="s">
        <v>16</v>
      </c>
      <c r="AA27" t="s">
        <v>14</v>
      </c>
      <c r="AB27" t="s">
        <v>39</v>
      </c>
    </row>
    <row r="28" spans="1:28" x14ac:dyDescent="0.2">
      <c r="A28" t="s">
        <v>179</v>
      </c>
      <c r="B28" t="str">
        <f t="shared" si="0"/>
        <v>7620_1</v>
      </c>
      <c r="C28">
        <v>7620</v>
      </c>
      <c r="D28">
        <v>1</v>
      </c>
      <c r="E28">
        <v>1</v>
      </c>
      <c r="F28" t="s">
        <v>14</v>
      </c>
      <c r="G28">
        <v>27</v>
      </c>
      <c r="H28">
        <v>27</v>
      </c>
      <c r="I28">
        <v>7620</v>
      </c>
      <c r="K28">
        <v>256.5</v>
      </c>
      <c r="L28">
        <v>0.98148148000000002</v>
      </c>
      <c r="M28">
        <v>53</v>
      </c>
      <c r="N28">
        <v>11</v>
      </c>
      <c r="O28" s="33">
        <v>22</v>
      </c>
      <c r="P28" s="31">
        <v>20</v>
      </c>
      <c r="Q28" s="33">
        <v>7</v>
      </c>
      <c r="R28" s="33">
        <v>3</v>
      </c>
      <c r="S28">
        <v>107</v>
      </c>
      <c r="T28">
        <v>118</v>
      </c>
      <c r="U28">
        <v>14</v>
      </c>
      <c r="V28">
        <v>127</v>
      </c>
      <c r="W28">
        <v>125</v>
      </c>
      <c r="X28">
        <v>122</v>
      </c>
      <c r="Y28" t="s">
        <v>46</v>
      </c>
      <c r="Z28" t="s">
        <v>19</v>
      </c>
      <c r="AA28" t="s">
        <v>14</v>
      </c>
      <c r="AB28" t="s">
        <v>39</v>
      </c>
    </row>
    <row r="29" spans="1:28" x14ac:dyDescent="0.2">
      <c r="A29" t="s">
        <v>180</v>
      </c>
      <c r="B29" t="str">
        <f t="shared" si="0"/>
        <v>7621_1</v>
      </c>
      <c r="C29">
        <v>7621</v>
      </c>
      <c r="D29">
        <v>1</v>
      </c>
      <c r="E29">
        <v>1</v>
      </c>
      <c r="F29" t="s">
        <v>14</v>
      </c>
      <c r="G29">
        <v>28</v>
      </c>
      <c r="H29">
        <v>28</v>
      </c>
      <c r="I29">
        <v>7621</v>
      </c>
      <c r="K29">
        <v>335.5</v>
      </c>
      <c r="L29">
        <v>1</v>
      </c>
      <c r="M29">
        <v>54</v>
      </c>
      <c r="N29">
        <v>9</v>
      </c>
      <c r="O29" s="33">
        <v>18</v>
      </c>
      <c r="P29" s="31">
        <v>15</v>
      </c>
      <c r="Q29" s="33">
        <v>7</v>
      </c>
      <c r="R29" s="33">
        <v>2</v>
      </c>
      <c r="S29">
        <v>118</v>
      </c>
      <c r="T29">
        <v>123</v>
      </c>
      <c r="U29">
        <v>17</v>
      </c>
      <c r="V29">
        <v>115</v>
      </c>
      <c r="W29">
        <v>104</v>
      </c>
      <c r="X29">
        <v>123</v>
      </c>
      <c r="Y29" t="s">
        <v>47</v>
      </c>
      <c r="Z29" t="s">
        <v>19</v>
      </c>
      <c r="AA29" t="s">
        <v>14</v>
      </c>
      <c r="AB29" t="s">
        <v>17</v>
      </c>
    </row>
    <row r="30" spans="1:28" x14ac:dyDescent="0.2">
      <c r="A30" t="s">
        <v>181</v>
      </c>
      <c r="B30" t="str">
        <f t="shared" si="0"/>
        <v>7634_1</v>
      </c>
      <c r="C30">
        <v>7634</v>
      </c>
      <c r="D30">
        <v>1</v>
      </c>
      <c r="E30">
        <v>1</v>
      </c>
      <c r="F30" t="s">
        <v>14</v>
      </c>
      <c r="G30">
        <v>29</v>
      </c>
      <c r="H30">
        <v>29</v>
      </c>
      <c r="I30">
        <v>7634</v>
      </c>
      <c r="K30">
        <v>458.5</v>
      </c>
      <c r="L30">
        <v>1</v>
      </c>
      <c r="M30">
        <v>54</v>
      </c>
      <c r="N30">
        <v>8</v>
      </c>
      <c r="O30" s="33">
        <v>20</v>
      </c>
      <c r="P30" s="31">
        <v>12</v>
      </c>
      <c r="Q30" s="33">
        <v>9</v>
      </c>
      <c r="R30" s="33">
        <v>5</v>
      </c>
      <c r="S30">
        <v>117</v>
      </c>
      <c r="T30">
        <v>123</v>
      </c>
      <c r="U30">
        <v>16</v>
      </c>
      <c r="V30">
        <v>114</v>
      </c>
      <c r="W30">
        <v>110</v>
      </c>
      <c r="X30">
        <v>114</v>
      </c>
      <c r="Y30" t="s">
        <v>48</v>
      </c>
      <c r="Z30" t="s">
        <v>19</v>
      </c>
      <c r="AA30" t="s">
        <v>14</v>
      </c>
      <c r="AB30" t="s">
        <v>17</v>
      </c>
    </row>
    <row r="31" spans="1:28" x14ac:dyDescent="0.2">
      <c r="A31" t="s">
        <v>182</v>
      </c>
      <c r="B31" t="str">
        <f t="shared" si="0"/>
        <v>7654_1</v>
      </c>
      <c r="C31">
        <v>7654</v>
      </c>
      <c r="D31">
        <v>1</v>
      </c>
      <c r="E31">
        <v>1</v>
      </c>
      <c r="F31" t="s">
        <v>14</v>
      </c>
      <c r="G31">
        <v>30</v>
      </c>
      <c r="H31">
        <v>30</v>
      </c>
      <c r="I31">
        <v>7654</v>
      </c>
      <c r="K31">
        <v>384</v>
      </c>
      <c r="L31">
        <v>0.98148148000000002</v>
      </c>
      <c r="M31">
        <v>53</v>
      </c>
      <c r="N31">
        <v>7</v>
      </c>
      <c r="O31" s="33">
        <v>17</v>
      </c>
      <c r="P31" s="31">
        <v>17</v>
      </c>
      <c r="Q31" s="33">
        <v>8</v>
      </c>
      <c r="R31" s="33">
        <v>4</v>
      </c>
      <c r="S31">
        <v>88</v>
      </c>
      <c r="T31">
        <v>106</v>
      </c>
      <c r="U31">
        <v>14</v>
      </c>
      <c r="V31">
        <v>107</v>
      </c>
      <c r="W31">
        <v>103</v>
      </c>
      <c r="X31">
        <v>109</v>
      </c>
      <c r="Y31" t="s">
        <v>49</v>
      </c>
      <c r="Z31" t="s">
        <v>19</v>
      </c>
      <c r="AA31" t="s">
        <v>14</v>
      </c>
      <c r="AB31" t="s">
        <v>17</v>
      </c>
    </row>
    <row r="32" spans="1:28" x14ac:dyDescent="0.2">
      <c r="A32" t="s">
        <v>183</v>
      </c>
      <c r="B32" t="str">
        <f t="shared" si="0"/>
        <v>7657_1</v>
      </c>
      <c r="C32">
        <v>7657</v>
      </c>
      <c r="D32">
        <v>1</v>
      </c>
      <c r="E32">
        <v>1</v>
      </c>
      <c r="F32" t="s">
        <v>14</v>
      </c>
      <c r="G32">
        <v>31</v>
      </c>
      <c r="H32">
        <v>31</v>
      </c>
      <c r="I32">
        <v>7657</v>
      </c>
      <c r="K32">
        <v>345.5</v>
      </c>
      <c r="L32">
        <v>0.94444444000000005</v>
      </c>
      <c r="M32">
        <v>51</v>
      </c>
      <c r="N32">
        <v>7</v>
      </c>
      <c r="O32" s="33">
        <v>24</v>
      </c>
      <c r="P32" s="31">
        <v>21</v>
      </c>
      <c r="Q32" s="33">
        <v>7</v>
      </c>
      <c r="R32" s="33">
        <v>4</v>
      </c>
      <c r="S32">
        <v>107</v>
      </c>
      <c r="T32">
        <v>115</v>
      </c>
      <c r="U32">
        <v>13</v>
      </c>
      <c r="V32">
        <v>114</v>
      </c>
      <c r="W32">
        <v>100</v>
      </c>
      <c r="X32">
        <v>126</v>
      </c>
      <c r="Y32" t="s">
        <v>50</v>
      </c>
      <c r="Z32" t="s">
        <v>19</v>
      </c>
      <c r="AA32" t="s">
        <v>14</v>
      </c>
      <c r="AB32" t="s">
        <v>17</v>
      </c>
    </row>
    <row r="33" spans="1:28" x14ac:dyDescent="0.2">
      <c r="A33" t="s">
        <v>184</v>
      </c>
      <c r="B33" t="str">
        <f t="shared" si="0"/>
        <v>7685_1</v>
      </c>
      <c r="C33">
        <v>7685</v>
      </c>
      <c r="D33">
        <v>1</v>
      </c>
      <c r="E33">
        <v>1</v>
      </c>
      <c r="F33" t="s">
        <v>14</v>
      </c>
      <c r="G33">
        <v>32</v>
      </c>
      <c r="H33">
        <v>32</v>
      </c>
      <c r="I33" t="e">
        <v>#N/A</v>
      </c>
      <c r="N33">
        <v>5</v>
      </c>
      <c r="O33" s="33">
        <v>12</v>
      </c>
      <c r="P33" s="31">
        <v>7</v>
      </c>
      <c r="Q33" s="33">
        <v>3</v>
      </c>
      <c r="R33" s="33">
        <v>4</v>
      </c>
      <c r="S33">
        <v>113</v>
      </c>
      <c r="T33">
        <v>100</v>
      </c>
      <c r="U33">
        <v>17</v>
      </c>
      <c r="V33">
        <v>118</v>
      </c>
      <c r="W33">
        <v>115</v>
      </c>
      <c r="X33">
        <v>117</v>
      </c>
      <c r="Y33" t="s">
        <v>51</v>
      </c>
      <c r="Z33" t="s">
        <v>19</v>
      </c>
      <c r="AA33" t="s">
        <v>14</v>
      </c>
      <c r="AB33" t="s">
        <v>17</v>
      </c>
    </row>
    <row r="34" spans="1:28" x14ac:dyDescent="0.2">
      <c r="A34" t="s">
        <v>185</v>
      </c>
      <c r="B34" t="str">
        <f t="shared" si="0"/>
        <v>7686_1</v>
      </c>
      <c r="C34">
        <v>7686</v>
      </c>
      <c r="D34">
        <v>1</v>
      </c>
      <c r="E34">
        <v>1</v>
      </c>
      <c r="F34" t="s">
        <v>14</v>
      </c>
      <c r="G34">
        <v>33</v>
      </c>
      <c r="H34">
        <v>33</v>
      </c>
      <c r="I34" t="e">
        <v>#N/A</v>
      </c>
      <c r="N34">
        <v>6</v>
      </c>
      <c r="O34" s="33">
        <v>24</v>
      </c>
      <c r="P34" s="31">
        <v>13</v>
      </c>
      <c r="Q34" s="33">
        <v>4</v>
      </c>
      <c r="R34" s="33">
        <v>4</v>
      </c>
      <c r="S34">
        <v>112</v>
      </c>
      <c r="T34">
        <v>91</v>
      </c>
      <c r="U34">
        <v>13</v>
      </c>
      <c r="V34">
        <v>99</v>
      </c>
      <c r="W34">
        <v>108</v>
      </c>
      <c r="X34">
        <v>89</v>
      </c>
      <c r="Y34" t="s">
        <v>52</v>
      </c>
      <c r="Z34" t="s">
        <v>19</v>
      </c>
      <c r="AA34" t="s">
        <v>14</v>
      </c>
      <c r="AB34" t="s">
        <v>39</v>
      </c>
    </row>
    <row r="35" spans="1:28" x14ac:dyDescent="0.2">
      <c r="A35" t="s">
        <v>186</v>
      </c>
      <c r="B35" t="str">
        <f t="shared" si="0"/>
        <v>7693_1</v>
      </c>
      <c r="C35">
        <v>7693</v>
      </c>
      <c r="D35">
        <v>1</v>
      </c>
      <c r="E35">
        <v>1</v>
      </c>
      <c r="F35" t="s">
        <v>14</v>
      </c>
      <c r="G35">
        <v>34</v>
      </c>
      <c r="H35">
        <v>34</v>
      </c>
      <c r="I35">
        <v>7693</v>
      </c>
      <c r="K35">
        <v>608</v>
      </c>
      <c r="L35">
        <v>0.94444444000000005</v>
      </c>
      <c r="M35">
        <v>51</v>
      </c>
      <c r="N35">
        <v>8</v>
      </c>
      <c r="O35" s="33">
        <v>23</v>
      </c>
      <c r="P35" s="31">
        <v>20</v>
      </c>
      <c r="Q35" s="33">
        <v>2</v>
      </c>
      <c r="R35" s="33">
        <v>5</v>
      </c>
      <c r="S35">
        <v>110</v>
      </c>
      <c r="T35">
        <v>123</v>
      </c>
      <c r="U35">
        <v>16</v>
      </c>
      <c r="V35">
        <v>120</v>
      </c>
      <c r="W35">
        <v>129</v>
      </c>
      <c r="X35">
        <v>108</v>
      </c>
      <c r="Y35" t="s">
        <v>53</v>
      </c>
      <c r="Z35" t="s">
        <v>19</v>
      </c>
      <c r="AA35" t="s">
        <v>14</v>
      </c>
      <c r="AB35" t="s">
        <v>17</v>
      </c>
    </row>
    <row r="36" spans="1:28" x14ac:dyDescent="0.2">
      <c r="A36" t="s">
        <v>187</v>
      </c>
      <c r="B36" t="str">
        <f t="shared" si="0"/>
        <v>7695_1</v>
      </c>
      <c r="C36">
        <v>7695</v>
      </c>
      <c r="D36">
        <v>1</v>
      </c>
      <c r="E36">
        <v>1</v>
      </c>
      <c r="F36" t="s">
        <v>14</v>
      </c>
      <c r="G36">
        <v>35</v>
      </c>
      <c r="H36">
        <v>35</v>
      </c>
      <c r="I36">
        <v>7695</v>
      </c>
      <c r="K36">
        <v>272</v>
      </c>
      <c r="L36">
        <v>1</v>
      </c>
      <c r="M36">
        <v>54</v>
      </c>
      <c r="N36">
        <v>8</v>
      </c>
      <c r="O36" s="33">
        <v>14</v>
      </c>
      <c r="P36" s="31">
        <v>10</v>
      </c>
      <c r="Q36" s="33">
        <v>0</v>
      </c>
      <c r="R36" s="33">
        <v>2</v>
      </c>
      <c r="S36">
        <v>110</v>
      </c>
      <c r="T36">
        <v>115</v>
      </c>
      <c r="U36">
        <v>16</v>
      </c>
      <c r="V36">
        <v>107</v>
      </c>
      <c r="W36">
        <v>89</v>
      </c>
      <c r="X36">
        <v>123</v>
      </c>
      <c r="Y36" t="s">
        <v>54</v>
      </c>
      <c r="Z36" t="s">
        <v>19</v>
      </c>
      <c r="AA36" t="s">
        <v>14</v>
      </c>
      <c r="AB36" t="s">
        <v>39</v>
      </c>
    </row>
    <row r="37" spans="1:28" x14ac:dyDescent="0.2">
      <c r="A37" t="s">
        <v>188</v>
      </c>
      <c r="B37" t="str">
        <f t="shared" si="0"/>
        <v>7730_1</v>
      </c>
      <c r="C37">
        <v>7730</v>
      </c>
      <c r="D37">
        <v>1</v>
      </c>
      <c r="E37">
        <v>1</v>
      </c>
      <c r="F37" t="s">
        <v>14</v>
      </c>
      <c r="G37">
        <v>36</v>
      </c>
      <c r="H37">
        <v>36</v>
      </c>
      <c r="I37">
        <v>7730</v>
      </c>
      <c r="K37">
        <v>489.5</v>
      </c>
      <c r="L37">
        <v>0.66666667000000002</v>
      </c>
      <c r="M37">
        <v>36</v>
      </c>
      <c r="N37">
        <v>17</v>
      </c>
      <c r="O37" s="33"/>
      <c r="P37" s="31" t="s">
        <v>203</v>
      </c>
      <c r="Q37" s="33"/>
      <c r="R37" s="33"/>
      <c r="S37">
        <v>85</v>
      </c>
      <c r="T37">
        <v>104</v>
      </c>
      <c r="U37">
        <v>12</v>
      </c>
      <c r="V37">
        <v>99</v>
      </c>
      <c r="W37">
        <v>105</v>
      </c>
      <c r="X37">
        <v>91</v>
      </c>
      <c r="Y37" t="s">
        <v>55</v>
      </c>
      <c r="Z37" t="s">
        <v>19</v>
      </c>
      <c r="AA37" t="s">
        <v>14</v>
      </c>
      <c r="AB37" t="s">
        <v>17</v>
      </c>
    </row>
    <row r="38" spans="1:28" x14ac:dyDescent="0.2">
      <c r="A38" t="s">
        <v>189</v>
      </c>
      <c r="B38" t="str">
        <f t="shared" si="0"/>
        <v>7758_1</v>
      </c>
      <c r="C38">
        <v>7758</v>
      </c>
      <c r="D38">
        <v>1</v>
      </c>
      <c r="E38">
        <v>1</v>
      </c>
      <c r="F38" t="s">
        <v>14</v>
      </c>
      <c r="G38">
        <v>38</v>
      </c>
      <c r="H38">
        <v>38</v>
      </c>
      <c r="I38">
        <v>7758</v>
      </c>
      <c r="K38">
        <v>646</v>
      </c>
      <c r="L38">
        <v>1</v>
      </c>
      <c r="M38">
        <v>54</v>
      </c>
      <c r="N38">
        <v>13</v>
      </c>
      <c r="O38" s="35">
        <v>23</v>
      </c>
      <c r="P38" s="31">
        <v>22</v>
      </c>
      <c r="Q38" s="35">
        <v>8</v>
      </c>
      <c r="R38" s="35">
        <v>5</v>
      </c>
      <c r="S38">
        <v>120</v>
      </c>
      <c r="T38">
        <v>105</v>
      </c>
      <c r="U38">
        <v>14</v>
      </c>
      <c r="V38">
        <v>114</v>
      </c>
      <c r="W38">
        <v>100</v>
      </c>
      <c r="X38">
        <v>127</v>
      </c>
      <c r="Y38" t="s">
        <v>56</v>
      </c>
      <c r="Z38" t="s">
        <v>19</v>
      </c>
      <c r="AA38" t="s">
        <v>14</v>
      </c>
      <c r="AB38" t="s">
        <v>17</v>
      </c>
    </row>
    <row r="39" spans="1:28" x14ac:dyDescent="0.2">
      <c r="A39" t="s">
        <v>190</v>
      </c>
      <c r="B39" t="str">
        <f t="shared" si="0"/>
        <v>7759_1</v>
      </c>
      <c r="C39">
        <v>7759</v>
      </c>
      <c r="D39">
        <v>1</v>
      </c>
      <c r="E39">
        <v>1</v>
      </c>
      <c r="F39" t="s">
        <v>14</v>
      </c>
      <c r="G39">
        <v>39</v>
      </c>
      <c r="H39">
        <v>39</v>
      </c>
      <c r="I39">
        <v>7759</v>
      </c>
      <c r="K39">
        <v>252</v>
      </c>
      <c r="L39">
        <v>1</v>
      </c>
      <c r="M39">
        <v>54</v>
      </c>
      <c r="N39">
        <v>8</v>
      </c>
      <c r="O39" s="35">
        <v>14</v>
      </c>
      <c r="P39" s="31">
        <v>7</v>
      </c>
      <c r="Q39" s="35">
        <v>4</v>
      </c>
      <c r="R39" s="35">
        <v>4</v>
      </c>
      <c r="S39">
        <v>60</v>
      </c>
      <c r="T39">
        <v>90</v>
      </c>
      <c r="U39">
        <v>12</v>
      </c>
      <c r="V39">
        <v>98</v>
      </c>
      <c r="W39">
        <v>106</v>
      </c>
      <c r="X39">
        <v>88</v>
      </c>
      <c r="Y39" t="s">
        <v>57</v>
      </c>
      <c r="Z39" t="s">
        <v>19</v>
      </c>
      <c r="AA39" t="s">
        <v>14</v>
      </c>
      <c r="AB39" t="s">
        <v>17</v>
      </c>
    </row>
    <row r="40" spans="1:28" x14ac:dyDescent="0.2">
      <c r="A40" t="s">
        <v>191</v>
      </c>
      <c r="B40" t="str">
        <f t="shared" si="0"/>
        <v>7761_1</v>
      </c>
      <c r="C40">
        <v>7761</v>
      </c>
      <c r="D40">
        <v>1</v>
      </c>
      <c r="E40">
        <v>1</v>
      </c>
      <c r="F40" t="s">
        <v>14</v>
      </c>
      <c r="G40">
        <v>40</v>
      </c>
      <c r="H40">
        <v>40</v>
      </c>
      <c r="I40">
        <v>7761</v>
      </c>
      <c r="K40">
        <v>128</v>
      </c>
      <c r="L40">
        <v>1</v>
      </c>
      <c r="M40">
        <v>54</v>
      </c>
      <c r="N40">
        <v>5</v>
      </c>
      <c r="O40" s="35">
        <v>27</v>
      </c>
      <c r="P40" s="31">
        <v>16</v>
      </c>
      <c r="Q40" s="35">
        <v>10</v>
      </c>
      <c r="R40" s="35">
        <v>4</v>
      </c>
      <c r="S40">
        <v>116</v>
      </c>
      <c r="T40">
        <v>111</v>
      </c>
      <c r="U40">
        <v>15</v>
      </c>
      <c r="V40">
        <v>123</v>
      </c>
      <c r="W40">
        <v>117</v>
      </c>
      <c r="X40">
        <v>122</v>
      </c>
      <c r="Y40" t="s">
        <v>58</v>
      </c>
      <c r="Z40" t="s">
        <v>19</v>
      </c>
      <c r="AA40" t="s">
        <v>14</v>
      </c>
      <c r="AB40" t="s">
        <v>17</v>
      </c>
    </row>
  </sheetData>
  <autoFilter ref="C1:P40" xr:uid="{982485DD-9643-7644-AF20-03E0635BA6A0}"/>
  <conditionalFormatting sqref="S4:T4">
    <cfRule type="containsBlanks" dxfId="5" priority="12">
      <formula>LEN(TRIM(S4))=0</formula>
    </cfRule>
  </conditionalFormatting>
  <conditionalFormatting sqref="S8:T8">
    <cfRule type="containsBlanks" dxfId="4" priority="1">
      <formula>LEN(TRIM(S8))=0</formula>
    </cfRule>
  </conditionalFormatting>
  <conditionalFormatting sqref="S14:T27">
    <cfRule type="containsBlanks" dxfId="3" priority="2">
      <formula>LEN(TRIM(S14))=0</formula>
    </cfRule>
  </conditionalFormatting>
  <conditionalFormatting sqref="S2:X2">
    <cfRule type="containsBlanks" dxfId="2" priority="13">
      <formula>LEN(TRIM(S2))=0</formula>
    </cfRule>
  </conditionalFormatting>
  <conditionalFormatting sqref="S9:X13">
    <cfRule type="containsBlanks" dxfId="1" priority="8">
      <formula>LEN(TRIM(S9))=0</formula>
    </cfRule>
  </conditionalFormatting>
  <conditionalFormatting sqref="B2:B40">
    <cfRule type="duplicateValues" dxfId="0" priority="28"/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F27E-4EC3-1B47-950F-D2933502047A}">
  <dimension ref="A1:X21"/>
  <sheetViews>
    <sheetView topLeftCell="B1" zoomScale="143" zoomScaleNormal="143" workbookViewId="0">
      <selection activeCell="A8" sqref="A8"/>
    </sheetView>
  </sheetViews>
  <sheetFormatPr baseColWidth="10" defaultRowHeight="16" x14ac:dyDescent="0.2"/>
  <cols>
    <col min="1" max="1" width="35.6640625" bestFit="1" customWidth="1"/>
    <col min="2" max="2" width="19.1640625" customWidth="1"/>
    <col min="3" max="3" width="18" bestFit="1" customWidth="1"/>
    <col min="6" max="6" width="11.5" customWidth="1"/>
    <col min="7" max="7" width="11.6640625" customWidth="1"/>
    <col min="9" max="10" width="22.33203125" customWidth="1"/>
    <col min="11" max="13" width="12.6640625" customWidth="1"/>
    <col min="14" max="14" width="20" customWidth="1"/>
    <col min="15" max="15" width="20.5" customWidth="1"/>
    <col min="17" max="17" width="11.83203125" customWidth="1"/>
    <col min="21" max="21" width="14.83203125" bestFit="1" customWidth="1"/>
    <col min="22" max="22" width="19.1640625" bestFit="1" customWidth="1"/>
    <col min="23" max="23" width="21.1640625" bestFit="1" customWidth="1"/>
  </cols>
  <sheetData>
    <row r="1" spans="1:24" ht="128" x14ac:dyDescent="0.2">
      <c r="A1" t="s">
        <v>210</v>
      </c>
      <c r="B1" s="2" t="e">
        <f>CONCATENATE("ASD (n=",ASD!#REF!,")")</f>
        <v>#REF!</v>
      </c>
      <c r="C1" s="2" t="e">
        <f>CONCATENATE("TD (n=",TD!#REF!,")")</f>
        <v>#REF!</v>
      </c>
      <c r="D1" t="s">
        <v>220</v>
      </c>
      <c r="E1" t="s">
        <v>209</v>
      </c>
      <c r="F1" s="19" t="s">
        <v>6</v>
      </c>
      <c r="G1" s="19" t="s">
        <v>7</v>
      </c>
      <c r="H1" s="19" t="s">
        <v>8</v>
      </c>
      <c r="I1" s="19" t="s">
        <v>211</v>
      </c>
      <c r="J1" s="33" t="s">
        <v>228</v>
      </c>
      <c r="K1" s="33" t="s">
        <v>227</v>
      </c>
      <c r="L1" s="33" t="s">
        <v>222</v>
      </c>
      <c r="M1" s="33" t="s">
        <v>224</v>
      </c>
      <c r="N1" s="18" t="s">
        <v>201</v>
      </c>
      <c r="O1" s="18" t="s">
        <v>202</v>
      </c>
      <c r="P1" s="18" t="s">
        <v>198</v>
      </c>
      <c r="Q1" s="18" t="s">
        <v>193</v>
      </c>
      <c r="R1" s="18" t="s">
        <v>194</v>
      </c>
      <c r="S1" s="18" t="s">
        <v>195</v>
      </c>
      <c r="U1" t="s">
        <v>215</v>
      </c>
      <c r="V1" t="s">
        <v>17</v>
      </c>
      <c r="W1" t="s">
        <v>39</v>
      </c>
      <c r="X1" t="s">
        <v>216</v>
      </c>
    </row>
    <row r="2" spans="1:24" x14ac:dyDescent="0.2">
      <c r="A2" s="21" t="s">
        <v>101</v>
      </c>
      <c r="B2" s="23" t="s">
        <v>112</v>
      </c>
      <c r="C2" t="s">
        <v>111</v>
      </c>
      <c r="D2" s="13" t="e">
        <f>_xlfn.CHISQ.TEST(V2:W3, V9:W10)</f>
        <v>#REF!</v>
      </c>
      <c r="E2" s="14" t="s">
        <v>204</v>
      </c>
      <c r="F2" s="15" t="e">
        <f>ROUND(ASD!#REF!,3)</f>
        <v>#REF!</v>
      </c>
      <c r="G2" s="15" t="e">
        <f>ROUND(ASD!#REF!,3)</f>
        <v>#REF!</v>
      </c>
      <c r="H2" s="15" t="e">
        <f>ROUND(ASD!#REF!,3)</f>
        <v>#REF!</v>
      </c>
      <c r="I2" s="15" t="e">
        <f>ROUND(ASD!#REF!,3)</f>
        <v>#REF!</v>
      </c>
      <c r="J2" s="15" t="e">
        <f>ROUND(ASD!#REF!,3)</f>
        <v>#REF!</v>
      </c>
      <c r="K2" s="15" t="e">
        <f>ROUND(ASD!#REF!,3)</f>
        <v>#REF!</v>
      </c>
      <c r="L2" s="15" t="e">
        <f>ROUND(ASD!#REF!,3)</f>
        <v>#REF!</v>
      </c>
      <c r="M2" s="15" t="e">
        <f>ROUND(ASD!#REF!,3)</f>
        <v>#REF!</v>
      </c>
      <c r="N2" s="15" t="e">
        <f>ROUND(ASD!#REF!,3)</f>
        <v>#REF!</v>
      </c>
      <c r="O2" s="15" t="e">
        <f>ROUND(ASD!#REF!,3)</f>
        <v>#REF!</v>
      </c>
      <c r="P2" s="15" t="e">
        <f>ROUND(ASD!#REF!,3)</f>
        <v>#REF!</v>
      </c>
      <c r="Q2" s="15" t="e">
        <f>ROUND(ASD!#REF!,3)</f>
        <v>#REF!</v>
      </c>
      <c r="R2" s="15" t="e">
        <f>ROUND(ASD!#REF!,3)</f>
        <v>#REF!</v>
      </c>
      <c r="S2" s="15" t="e">
        <f>ROUND(ASD!#REF!,3)</f>
        <v>#REF!</v>
      </c>
      <c r="U2" t="s">
        <v>14</v>
      </c>
      <c r="V2" t="e">
        <f>ASD!#REF!</f>
        <v>#REF!</v>
      </c>
      <c r="W2" t="e">
        <f>ASD!#REF!</f>
        <v>#REF!</v>
      </c>
      <c r="X2" s="27">
        <v>39</v>
      </c>
    </row>
    <row r="3" spans="1:24" x14ac:dyDescent="0.2">
      <c r="A3" s="21" t="s">
        <v>102</v>
      </c>
      <c r="B3" s="24" t="e">
        <f>_xlfn.TEXTJOIN(" ",TRUE,P2, "±",Table1[[#This Row],[Age scan]])</f>
        <v>#REF!</v>
      </c>
      <c r="C3" s="20" t="e">
        <f>_xlfn.TEXTJOIN(" ",TRUE,P5, "±",P6)</f>
        <v>#REF!</v>
      </c>
      <c r="E3" s="14" t="s">
        <v>205</v>
      </c>
      <c r="F3" s="15" t="e">
        <f>ROUND(ASD!#REF!,3)</f>
        <v>#REF!</v>
      </c>
      <c r="G3" s="15" t="e">
        <f>ROUND(ASD!#REF!,3)</f>
        <v>#REF!</v>
      </c>
      <c r="H3" s="15" t="e">
        <f>ROUND(ASD!#REF!,3)</f>
        <v>#REF!</v>
      </c>
      <c r="I3" s="15" t="e">
        <f>ROUND(ASD!#REF!,3)</f>
        <v>#REF!</v>
      </c>
      <c r="J3" s="15" t="e">
        <f>ROUND(ASD!#REF!,3)</f>
        <v>#REF!</v>
      </c>
      <c r="K3" s="15" t="e">
        <f>ROUND(ASD!#REF!,3)</f>
        <v>#REF!</v>
      </c>
      <c r="L3" s="15" t="e">
        <f>ROUND(ASD!#REF!,3)</f>
        <v>#REF!</v>
      </c>
      <c r="M3" s="15" t="e">
        <f>ROUND(ASD!#REF!,3)</f>
        <v>#REF!</v>
      </c>
      <c r="N3" s="15" t="e">
        <f>ROUND(ASD!#REF!,3)</f>
        <v>#REF!</v>
      </c>
      <c r="O3" s="15" t="e">
        <f>ROUND(ASD!#REF!,3)</f>
        <v>#REF!</v>
      </c>
      <c r="P3" s="15" t="e">
        <f>ROUND(ASD!#REF!,3)</f>
        <v>#REF!</v>
      </c>
      <c r="Q3" s="15" t="e">
        <f>ROUND(ASD!#REF!,3)</f>
        <v>#REF!</v>
      </c>
      <c r="R3" s="15" t="e">
        <f>ROUND(ASD!#REF!,3)</f>
        <v>#REF!</v>
      </c>
      <c r="S3" s="15" t="e">
        <f>ROUND(ASD!#REF!,3)</f>
        <v>#REF!</v>
      </c>
      <c r="U3" t="s">
        <v>59</v>
      </c>
      <c r="V3" t="e">
        <f>TD!#REF!</f>
        <v>#REF!</v>
      </c>
      <c r="W3" t="e">
        <f>TD!#REF!</f>
        <v>#REF!</v>
      </c>
      <c r="X3" s="27">
        <v>40</v>
      </c>
    </row>
    <row r="4" spans="1:24" x14ac:dyDescent="0.2">
      <c r="A4" s="21" t="s">
        <v>103</v>
      </c>
      <c r="B4" s="24" t="e">
        <f>_xlfn.TEXTJOIN(" ",TRUE,Q2, "±",Q3)</f>
        <v>#REF!</v>
      </c>
      <c r="C4" s="20" t="e">
        <f>_xlfn.TEXTJOIN(" ",TRUE,Q5, "±",Q6)</f>
        <v>#REF!</v>
      </c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U4" t="s">
        <v>216</v>
      </c>
      <c r="V4" s="28">
        <v>62</v>
      </c>
      <c r="W4" s="28">
        <v>17</v>
      </c>
      <c r="X4" s="26">
        <v>79</v>
      </c>
    </row>
    <row r="5" spans="1:24" x14ac:dyDescent="0.2">
      <c r="A5" s="21" t="s">
        <v>104</v>
      </c>
      <c r="B5" s="24" t="e">
        <f>_xlfn.TEXTJOIN(" ",TRUE,S2, "±",S3)</f>
        <v>#REF!</v>
      </c>
      <c r="C5" s="20" t="e">
        <f>_xlfn.TEXTJOIN(" ",TRUE,Table1[[#This Row],[WASI VIQ]], "±",S6)</f>
        <v>#REF!</v>
      </c>
      <c r="E5" s="14" t="s">
        <v>206</v>
      </c>
      <c r="F5" s="15" t="e">
        <f>ROUND(TD!#REF!,3)</f>
        <v>#REF!</v>
      </c>
      <c r="G5" s="15" t="e">
        <f>ROUND(TD!#REF!,3)</f>
        <v>#REF!</v>
      </c>
      <c r="H5" s="15" t="e">
        <f>ROUND(TD!#REF!,3)</f>
        <v>#REF!</v>
      </c>
      <c r="I5" s="15" t="s">
        <v>100</v>
      </c>
      <c r="J5" s="15" t="s">
        <v>100</v>
      </c>
      <c r="K5" s="15" t="s">
        <v>100</v>
      </c>
      <c r="L5" s="15" t="s">
        <v>100</v>
      </c>
      <c r="M5" s="15" t="s">
        <v>100</v>
      </c>
      <c r="N5" s="15" t="e">
        <f>ROUND(TD!#REF!,3)</f>
        <v>#REF!</v>
      </c>
      <c r="O5" s="15" t="e">
        <f>ROUND(TD!#REF!,3)</f>
        <v>#REF!</v>
      </c>
      <c r="P5" s="15" t="e">
        <f>ROUND(TD!#REF!,3)</f>
        <v>#REF!</v>
      </c>
      <c r="Q5" s="15" t="e">
        <f>ROUND(TD!#REF!,3)</f>
        <v>#REF!</v>
      </c>
      <c r="R5" s="15" t="e">
        <f>ROUND(TD!#REF!,3)</f>
        <v>#REF!</v>
      </c>
      <c r="S5" s="15" t="e">
        <f>ROUND(TD!#REF!,3)</f>
        <v>#REF!</v>
      </c>
    </row>
    <row r="6" spans="1:24" x14ac:dyDescent="0.2">
      <c r="A6" s="21" t="s">
        <v>105</v>
      </c>
      <c r="B6" s="24" t="e">
        <f>_xlfn.TEXTJOIN(" ",TRUE,R2, "±",R3)</f>
        <v>#REF!</v>
      </c>
      <c r="C6" s="20" t="e">
        <f>_xlfn.TEXTJOIN(" ",TRUE,R5, "±",R6)</f>
        <v>#REF!</v>
      </c>
      <c r="E6" s="14" t="s">
        <v>207</v>
      </c>
      <c r="F6" s="15" t="e">
        <f>ROUND(TD!#REF!,3)</f>
        <v>#REF!</v>
      </c>
      <c r="G6" s="15" t="e">
        <f>ROUND(TD!#REF!,3)</f>
        <v>#REF!</v>
      </c>
      <c r="H6" s="15" t="e">
        <f>ROUND(TD!#REF!,3)</f>
        <v>#REF!</v>
      </c>
      <c r="I6" s="15" t="s">
        <v>100</v>
      </c>
      <c r="J6" s="15" t="s">
        <v>100</v>
      </c>
      <c r="K6" s="15" t="s">
        <v>100</v>
      </c>
      <c r="L6" s="15" t="s">
        <v>100</v>
      </c>
      <c r="M6" s="15" t="s">
        <v>100</v>
      </c>
      <c r="N6" s="15" t="e">
        <f>ROUND(TD!#REF!,3)</f>
        <v>#REF!</v>
      </c>
      <c r="O6" s="15" t="e">
        <f>ROUND(TD!#REF!,3)</f>
        <v>#REF!</v>
      </c>
      <c r="P6" s="15" t="e">
        <f>ROUND(TD!#REF!,3)</f>
        <v>#REF!</v>
      </c>
      <c r="Q6" s="15" t="e">
        <f>ROUND(TD!#REF!,3)</f>
        <v>#REF!</v>
      </c>
      <c r="R6" s="15" t="e">
        <f>ROUND(TD!#REF!,3)</f>
        <v>#REF!</v>
      </c>
      <c r="S6" s="15" t="e">
        <f>ROUND(TD!#REF!,3)</f>
        <v>#REF!</v>
      </c>
    </row>
    <row r="7" spans="1:24" x14ac:dyDescent="0.2">
      <c r="A7" s="21" t="s">
        <v>212</v>
      </c>
      <c r="B7" s="24" t="e">
        <f>_xlfn.TEXTJOIN(" ",TRUE,I2, "±",I3)</f>
        <v>#REF!</v>
      </c>
      <c r="C7" s="20" t="s">
        <v>108</v>
      </c>
      <c r="E7" s="14"/>
      <c r="F7" s="14"/>
      <c r="G7" s="14"/>
      <c r="H7" s="14"/>
      <c r="I7" s="14"/>
      <c r="J7" s="15"/>
      <c r="K7" s="14"/>
      <c r="L7" s="15"/>
      <c r="M7" s="15"/>
      <c r="N7" s="14"/>
      <c r="O7" s="14"/>
      <c r="P7" s="16"/>
      <c r="Q7" s="14"/>
      <c r="R7" s="14"/>
      <c r="S7" s="14"/>
      <c r="U7" t="s">
        <v>219</v>
      </c>
    </row>
    <row r="8" spans="1:24" ht="34" x14ac:dyDescent="0.2">
      <c r="A8" s="22" t="s">
        <v>229</v>
      </c>
      <c r="B8" s="24" t="e">
        <f>_xlfn.TEXTJOIN(" ",TRUE,J2, "±",J3)</f>
        <v>#REF!</v>
      </c>
      <c r="C8" s="20"/>
      <c r="E8" s="14"/>
      <c r="F8" s="14"/>
      <c r="G8" s="14"/>
      <c r="H8" s="14"/>
      <c r="I8" s="14"/>
      <c r="J8" s="15"/>
      <c r="K8" s="14"/>
      <c r="L8" s="15"/>
      <c r="M8" s="15"/>
      <c r="N8" s="14"/>
      <c r="O8" s="14"/>
      <c r="P8" s="16"/>
      <c r="Q8" s="14"/>
      <c r="R8" s="14"/>
      <c r="S8" s="14"/>
      <c r="V8" t="s">
        <v>217</v>
      </c>
      <c r="W8" t="s">
        <v>218</v>
      </c>
      <c r="X8" t="s">
        <v>216</v>
      </c>
    </row>
    <row r="9" spans="1:24" ht="34" x14ac:dyDescent="0.2">
      <c r="A9" s="22" t="s">
        <v>226</v>
      </c>
      <c r="B9" s="24" t="e">
        <f>_xlfn.TEXTJOIN(" ",TRUE,K2, "±",K3)</f>
        <v>#REF!</v>
      </c>
      <c r="C9" s="20" t="s">
        <v>108</v>
      </c>
      <c r="E9" s="14" t="s">
        <v>208</v>
      </c>
      <c r="F9" s="14">
        <f>TTEST(ASD!K2:K40,TD!K2:K41,2,3)</f>
        <v>0.96977610438726936</v>
      </c>
      <c r="G9" s="14">
        <f>TTEST(ASD!L2:L40,TD!L2:L41,2,3)</f>
        <v>2.1102943517342598E-2</v>
      </c>
      <c r="H9" s="14">
        <f>TTEST(TD!M2:M41,ASD!M2:M40,2,3)</f>
        <v>2.1103039835146945E-2</v>
      </c>
      <c r="I9" s="14" t="s">
        <v>100</v>
      </c>
      <c r="J9" s="15" t="s">
        <v>100</v>
      </c>
      <c r="K9" s="15" t="s">
        <v>100</v>
      </c>
      <c r="L9" s="15" t="s">
        <v>100</v>
      </c>
      <c r="M9" s="15" t="s">
        <v>100</v>
      </c>
      <c r="N9" s="14">
        <f>TTEST(ASD!S2:S40,TD!P2:P41,2,3)</f>
        <v>0.12736358979320972</v>
      </c>
      <c r="O9" s="14">
        <f>TTEST(ASD!T2:T40,TD!Q2:Q41,2,3)</f>
        <v>1.6147856658815807E-3</v>
      </c>
      <c r="P9" s="17">
        <f>TTEST(ASD!U2:U40,TD!R2:R41,2,3)</f>
        <v>0.8815175635768131</v>
      </c>
      <c r="Q9" s="14">
        <f>TTEST(ASD!V2:V40,TD!S2:S41,2,3)</f>
        <v>0.1234563951128677</v>
      </c>
      <c r="R9" s="14">
        <f>TTEST(ASD!W2:W40,TD!T2:T41,2,3)</f>
        <v>0.44022976869930541</v>
      </c>
      <c r="S9" s="14">
        <f>TTEST(ASD!X2:X40,TD!U2:U41,2,3)</f>
        <v>7.2744373998367251E-2</v>
      </c>
      <c r="U9" t="s">
        <v>14</v>
      </c>
      <c r="V9" s="26">
        <f>(X2*V4)/X4</f>
        <v>30.60759493670886</v>
      </c>
      <c r="W9" s="26">
        <f>(X2*W4)/X4</f>
        <v>8.3924050632911396</v>
      </c>
      <c r="X9" s="27">
        <v>39</v>
      </c>
    </row>
    <row r="10" spans="1:24" ht="34" x14ac:dyDescent="0.2">
      <c r="A10" s="22" t="s">
        <v>223</v>
      </c>
      <c r="B10" s="24" t="e">
        <f>_xlfn.TEXTJOIN(" ",TRUE,L2, "±",L3)</f>
        <v>#REF!</v>
      </c>
      <c r="C10" s="20"/>
      <c r="E10" s="14"/>
      <c r="F10" s="14"/>
      <c r="G10" s="14"/>
      <c r="H10" s="14"/>
      <c r="I10" s="14"/>
      <c r="J10" s="15"/>
      <c r="K10" s="14"/>
      <c r="L10" s="15"/>
      <c r="M10" s="15"/>
      <c r="N10" s="14"/>
      <c r="O10" s="14"/>
      <c r="P10" s="17"/>
      <c r="Q10" s="14"/>
      <c r="R10" s="14"/>
      <c r="S10" s="14"/>
      <c r="U10" t="s">
        <v>59</v>
      </c>
      <c r="V10" s="26">
        <f>(X3*V4)/X4</f>
        <v>31.39240506329114</v>
      </c>
      <c r="W10" s="26">
        <f>(X3*W4)/X4</f>
        <v>8.6075949367088604</v>
      </c>
      <c r="X10" s="27">
        <v>40</v>
      </c>
    </row>
    <row r="11" spans="1:24" ht="34" x14ac:dyDescent="0.2">
      <c r="A11" s="29" t="s">
        <v>225</v>
      </c>
      <c r="B11" s="24" t="e">
        <f>_xlfn.TEXTJOIN(" ",TRUE,M2, "±",M3)</f>
        <v>#REF!</v>
      </c>
      <c r="C11" s="20"/>
      <c r="E11" s="14"/>
      <c r="F11" s="14"/>
      <c r="G11" s="14"/>
      <c r="H11" s="14"/>
      <c r="I11" s="14"/>
      <c r="J11" s="15"/>
      <c r="K11" s="14"/>
      <c r="L11" s="15"/>
      <c r="M11" s="15"/>
      <c r="N11" s="14"/>
      <c r="O11" s="14"/>
      <c r="P11" s="17"/>
      <c r="Q11" s="14"/>
      <c r="R11" s="14"/>
      <c r="S11" s="14"/>
      <c r="U11" t="s">
        <v>216</v>
      </c>
      <c r="V11" s="28">
        <v>62</v>
      </c>
      <c r="W11" s="28">
        <v>17</v>
      </c>
      <c r="X11" s="26">
        <v>79</v>
      </c>
    </row>
    <row r="12" spans="1:24" ht="17" customHeight="1" x14ac:dyDescent="0.2">
      <c r="A12" s="21" t="s">
        <v>106</v>
      </c>
      <c r="B12" s="24" t="e">
        <f>_xlfn.TEXTJOIN(" ",TRUE,N2, "±",N3)</f>
        <v>#REF!</v>
      </c>
      <c r="C12" s="20" t="e">
        <f>_xlfn.TEXTJOIN(" ",TRUE,N5, "±",N6)</f>
        <v>#REF!</v>
      </c>
      <c r="E12" s="14"/>
      <c r="F12" s="14"/>
      <c r="G12" s="14"/>
      <c r="H12" s="14"/>
      <c r="I12" s="14"/>
      <c r="J12" s="15"/>
      <c r="K12" s="14"/>
      <c r="L12" s="15"/>
      <c r="M12" s="15"/>
      <c r="N12" s="14"/>
      <c r="O12" s="14"/>
      <c r="P12" s="14"/>
      <c r="Q12" s="14"/>
      <c r="R12" s="14"/>
      <c r="S12" s="14"/>
    </row>
    <row r="13" spans="1:24" x14ac:dyDescent="0.2">
      <c r="A13" s="21" t="s">
        <v>107</v>
      </c>
      <c r="B13" s="24" t="e">
        <f>_xlfn.TEXTJOIN(" ",TRUE,O2, "±",O3)</f>
        <v>#REF!</v>
      </c>
      <c r="C13" s="20" t="e">
        <f>_xlfn.TEXTJOIN(" ",TRUE,O5, "±",O6)</f>
        <v>#REF!</v>
      </c>
      <c r="E13" s="14"/>
      <c r="F13" s="14" t="e">
        <f>IF(F2&gt;F5,"ASD&gt;TD","TD&gt;ASD")</f>
        <v>#REF!</v>
      </c>
      <c r="G13" s="14" t="e">
        <f>IF(G2&gt;G5,"ASD&gt;TD","TD&gt;ASD")</f>
        <v>#REF!</v>
      </c>
      <c r="H13" s="14" t="e">
        <f t="shared" ref="H13:S13" si="0">IF(H2&gt;H5,"ASD&gt;TD","TD&gt;ASD")</f>
        <v>#REF!</v>
      </c>
      <c r="I13" s="14" t="s">
        <v>100</v>
      </c>
      <c r="J13" s="14" t="s">
        <v>100</v>
      </c>
      <c r="K13" s="14" t="s">
        <v>100</v>
      </c>
      <c r="L13" s="14" t="s">
        <v>100</v>
      </c>
      <c r="M13" s="14" t="s">
        <v>100</v>
      </c>
      <c r="N13" s="14" t="e">
        <f t="shared" si="0"/>
        <v>#REF!</v>
      </c>
      <c r="O13" s="14" t="e">
        <f t="shared" si="0"/>
        <v>#REF!</v>
      </c>
      <c r="P13" s="14" t="e">
        <f t="shared" si="0"/>
        <v>#REF!</v>
      </c>
      <c r="Q13" s="14" t="e">
        <f t="shared" si="0"/>
        <v>#REF!</v>
      </c>
      <c r="R13" s="14" t="e">
        <f t="shared" si="0"/>
        <v>#REF!</v>
      </c>
      <c r="S13" s="14" t="e">
        <f t="shared" si="0"/>
        <v>#REF!</v>
      </c>
      <c r="V13" t="e">
        <f>_xlfn.CHISQ.TEST(V2:W3, V9:W10)</f>
        <v>#REF!</v>
      </c>
    </row>
    <row r="14" spans="1:24" x14ac:dyDescent="0.2">
      <c r="A14" s="21" t="s">
        <v>109</v>
      </c>
      <c r="B14" s="24"/>
      <c r="C14" s="20"/>
      <c r="E14" s="14"/>
    </row>
    <row r="15" spans="1:24" x14ac:dyDescent="0.2">
      <c r="A15" s="21" t="s">
        <v>110</v>
      </c>
      <c r="B15" s="24" t="e">
        <f>_xlfn.TEXTJOIN(" ",TRUE,G2, "±",G3)</f>
        <v>#REF!</v>
      </c>
      <c r="C15" s="20" t="e">
        <f>_xlfn.TEXTJOIN(" ",TRUE,G5, "±",G6)</f>
        <v>#REF!</v>
      </c>
      <c r="F15" t="s">
        <v>213</v>
      </c>
    </row>
    <row r="20" spans="1:1" x14ac:dyDescent="0.2">
      <c r="A20" t="s">
        <v>214</v>
      </c>
    </row>
    <row r="21" spans="1:1" x14ac:dyDescent="0.2">
      <c r="A21" t="s">
        <v>221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</vt:lpstr>
      <vt:lpstr>ASD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Dawlat El-Said</dc:creator>
  <cp:lastModifiedBy>Daniel Arthur Abrams</cp:lastModifiedBy>
  <dcterms:created xsi:type="dcterms:W3CDTF">2024-12-12T03:03:20Z</dcterms:created>
  <dcterms:modified xsi:type="dcterms:W3CDTF">2025-10-08T16:45:05Z</dcterms:modified>
</cp:coreProperties>
</file>